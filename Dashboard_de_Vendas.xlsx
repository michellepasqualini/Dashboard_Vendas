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erluk\Downloads\Diversos\PARTICULAR MI\Michelle\Curso DIO\Excel\PROJETOS\3-Dashboard_Vendas\"/>
    </mc:Choice>
  </mc:AlternateContent>
  <xr:revisionPtr revIDLastSave="0" documentId="13_ncr:1_{4A2EB478-E216-4BA0-9035-98E8374D38E6}" xr6:coauthVersionLast="47" xr6:coauthVersionMax="47" xr10:uidLastSave="{00000000-0000-0000-0000-000000000000}"/>
  <bookViews>
    <workbookView xWindow="-120" yWindow="-120" windowWidth="24240" windowHeight="13020" firstSheet="3" activeTab="3" xr2:uid="{6E4AF921-8920-4BF4-9648-4C7828DF9B3F}"/>
  </bookViews>
  <sheets>
    <sheet name="Assets" sheetId="2" state="hidden" r:id="rId1"/>
    <sheet name="Base" sheetId="1" state="hidden" r:id="rId2"/>
    <sheet name="Calculo" sheetId="6" state="hidden" r:id="rId3"/>
    <sheet name="Dashboard" sheetId="4" r:id="rId4"/>
  </sheets>
  <definedNames>
    <definedName name="_xlnm._FilterDatabase" localSheetId="1" hidden="1">Base!$A$1:$R$151</definedName>
    <definedName name="SegmentaçãodeDados_Mês_Texto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3" i="1"/>
  <c r="C3" i="1" s="1"/>
  <c r="D15" i="6"/>
  <c r="G15" i="6"/>
  <c r="E15" i="6"/>
  <c r="F15" i="6"/>
  <c r="F5" i="4" l="1"/>
  <c r="E5" i="4"/>
  <c r="D5" i="4"/>
  <c r="C5" i="4"/>
  <c r="N3" i="1"/>
  <c r="N4" i="1"/>
  <c r="P4" i="1" s="1"/>
  <c r="Q4" i="1" s="1"/>
  <c r="N5" i="1"/>
  <c r="N6" i="1"/>
  <c r="P6" i="1" s="1"/>
  <c r="Q6" i="1" s="1"/>
  <c r="N7" i="1"/>
  <c r="P7" i="1" s="1"/>
  <c r="Q7" i="1" s="1"/>
  <c r="N8" i="1"/>
  <c r="P8" i="1" s="1"/>
  <c r="N9" i="1"/>
  <c r="P9" i="1" s="1"/>
  <c r="Q9" i="1" s="1"/>
  <c r="N10" i="1"/>
  <c r="P10" i="1" s="1"/>
  <c r="Q10" i="1" s="1"/>
  <c r="N11" i="1"/>
  <c r="P11" i="1" s="1"/>
  <c r="Q11" i="1" s="1"/>
  <c r="N12" i="1"/>
  <c r="P12" i="1" s="1"/>
  <c r="Q12" i="1" s="1"/>
  <c r="N13" i="1"/>
  <c r="P13" i="1" s="1"/>
  <c r="N14" i="1"/>
  <c r="P14" i="1" s="1"/>
  <c r="N15" i="1"/>
  <c r="P15" i="1" s="1"/>
  <c r="Q15" i="1" s="1"/>
  <c r="N16" i="1"/>
  <c r="P16" i="1" s="1"/>
  <c r="N17" i="1"/>
  <c r="P17" i="1" s="1"/>
  <c r="N18" i="1"/>
  <c r="P18" i="1" s="1"/>
  <c r="N19" i="1"/>
  <c r="P19" i="1" s="1"/>
  <c r="N20" i="1"/>
  <c r="P20" i="1" s="1"/>
  <c r="Q20" i="1" s="1"/>
  <c r="N21" i="1"/>
  <c r="P21" i="1" s="1"/>
  <c r="Q21" i="1" s="1"/>
  <c r="N22" i="1"/>
  <c r="P22" i="1" s="1"/>
  <c r="N23" i="1"/>
  <c r="P23" i="1" s="1"/>
  <c r="Q23" i="1" s="1"/>
  <c r="N24" i="1"/>
  <c r="P24" i="1" s="1"/>
  <c r="Q24" i="1" s="1"/>
  <c r="N25" i="1"/>
  <c r="P25" i="1" s="1"/>
  <c r="N26" i="1"/>
  <c r="P26" i="1" s="1"/>
  <c r="N27" i="1"/>
  <c r="P27" i="1" s="1"/>
  <c r="N28" i="1"/>
  <c r="P28" i="1" s="1"/>
  <c r="Q28" i="1" s="1"/>
  <c r="N29" i="1"/>
  <c r="P29" i="1" s="1"/>
  <c r="Q29" i="1" s="1"/>
  <c r="N30" i="1"/>
  <c r="P30" i="1" s="1"/>
  <c r="N31" i="1"/>
  <c r="P31" i="1" s="1"/>
  <c r="Q31" i="1" s="1"/>
  <c r="N32" i="1"/>
  <c r="P32" i="1" s="1"/>
  <c r="N33" i="1"/>
  <c r="P33" i="1" s="1"/>
  <c r="Q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Q40" i="1" s="1"/>
  <c r="N41" i="1"/>
  <c r="P41" i="1" s="1"/>
  <c r="N42" i="1"/>
  <c r="P42" i="1" s="1"/>
  <c r="N43" i="1"/>
  <c r="P43" i="1" s="1"/>
  <c r="Q43" i="1" s="1"/>
  <c r="N44" i="1"/>
  <c r="P44" i="1" s="1"/>
  <c r="N45" i="1"/>
  <c r="P45" i="1" s="1"/>
  <c r="N46" i="1"/>
  <c r="P46" i="1" s="1"/>
  <c r="N47" i="1"/>
  <c r="P47" i="1" s="1"/>
  <c r="Q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2" i="1"/>
  <c r="P2" i="1" s="1"/>
  <c r="Q2" i="1" s="1"/>
  <c r="G5" i="4" l="1"/>
  <c r="P5" i="1"/>
  <c r="Q5" i="1" s="1"/>
  <c r="P3" i="1"/>
  <c r="Q3" i="1" s="1"/>
  <c r="Q42" i="1"/>
  <c r="Q50" i="1"/>
  <c r="Q35" i="1"/>
  <c r="Q44" i="1"/>
  <c r="Q27" i="1"/>
  <c r="Q41" i="1"/>
  <c r="Q26" i="1"/>
  <c r="Q22" i="1"/>
  <c r="Q34" i="1"/>
  <c r="Q18" i="1"/>
  <c r="Q19" i="1"/>
  <c r="Q16" i="1"/>
  <c r="Q49" i="1"/>
  <c r="Q32" i="1"/>
  <c r="Q39" i="1"/>
  <c r="Q48" i="1"/>
  <c r="Q8" i="1"/>
  <c r="Q25" i="1"/>
  <c r="Q36" i="1"/>
  <c r="Q45" i="1"/>
  <c r="Q13" i="1"/>
  <c r="Q17" i="1"/>
  <c r="Q37" i="1"/>
  <c r="Q14" i="1"/>
  <c r="Q38" i="1"/>
  <c r="Q30" i="1"/>
  <c r="Q46" i="1"/>
</calcChain>
</file>

<file path=xl/sharedStrings.xml><?xml version="1.0" encoding="utf-8"?>
<sst xmlns="http://schemas.openxmlformats.org/spreadsheetml/2006/main" count="1106" uniqueCount="93">
  <si>
    <t>Data</t>
  </si>
  <si>
    <t>Pedido</t>
  </si>
  <si>
    <t>Cliente</t>
  </si>
  <si>
    <t>Vendedor</t>
  </si>
  <si>
    <t>Produto</t>
  </si>
  <si>
    <t>Categoria</t>
  </si>
  <si>
    <t>Região</t>
  </si>
  <si>
    <t>Estado</t>
  </si>
  <si>
    <t>Desconto %</t>
  </si>
  <si>
    <t>Faturamento</t>
  </si>
  <si>
    <t>Custo</t>
  </si>
  <si>
    <t>Lucro</t>
  </si>
  <si>
    <t>Margem %</t>
  </si>
  <si>
    <t>Delta Serviços</t>
  </si>
  <si>
    <t>Bruno</t>
  </si>
  <si>
    <t>Monitor 24</t>
  </si>
  <si>
    <t>Informática</t>
  </si>
  <si>
    <t>Sudeste</t>
  </si>
  <si>
    <t>RJ</t>
  </si>
  <si>
    <t>PIX</t>
  </si>
  <si>
    <t>Paraná Digital</t>
  </si>
  <si>
    <t>Fernanda</t>
  </si>
  <si>
    <t>Notebook Pro</t>
  </si>
  <si>
    <t>Sul</t>
  </si>
  <si>
    <t>RS</t>
  </si>
  <si>
    <t>Cartão</t>
  </si>
  <si>
    <t>Omega Solutions</t>
  </si>
  <si>
    <t>Ana</t>
  </si>
  <si>
    <t>Suporte TI</t>
  </si>
  <si>
    <t>Serviços</t>
  </si>
  <si>
    <t>SC</t>
  </si>
  <si>
    <t>Transferência</t>
  </si>
  <si>
    <t>Prime Corp</t>
  </si>
  <si>
    <t>Teclado Mecânico</t>
  </si>
  <si>
    <t>Acessórios</t>
  </si>
  <si>
    <t>Boleto</t>
  </si>
  <si>
    <t>Nordeste</t>
  </si>
  <si>
    <t>PE</t>
  </si>
  <si>
    <t>Mouse Sem Fio</t>
  </si>
  <si>
    <t>Carla</t>
  </si>
  <si>
    <t>Cadeira Ergo</t>
  </si>
  <si>
    <t>Móveis</t>
  </si>
  <si>
    <t>SP</t>
  </si>
  <si>
    <t>Mesa Office</t>
  </si>
  <si>
    <t>Gamma Tech</t>
  </si>
  <si>
    <t>BA</t>
  </si>
  <si>
    <t>MG</t>
  </si>
  <si>
    <t>Alfa Ltda</t>
  </si>
  <si>
    <t>Smartphone X</t>
  </si>
  <si>
    <t>Eletrônicos</t>
  </si>
  <si>
    <t>Centro-Oeste</t>
  </si>
  <si>
    <t>GO</t>
  </si>
  <si>
    <t>Nova Era</t>
  </si>
  <si>
    <t>Norte</t>
  </si>
  <si>
    <t>PA</t>
  </si>
  <si>
    <t>Sulmax</t>
  </si>
  <si>
    <t>PR</t>
  </si>
  <si>
    <t>Londri Office</t>
  </si>
  <si>
    <t>Instalação</t>
  </si>
  <si>
    <t>Diego</t>
  </si>
  <si>
    <t>TV 50</t>
  </si>
  <si>
    <t>Beta Comércio</t>
  </si>
  <si>
    <t>Quant</t>
  </si>
  <si>
    <t>Vlr Unitário</t>
  </si>
  <si>
    <t>Forma Pgto</t>
  </si>
  <si>
    <t>Maria</t>
  </si>
  <si>
    <t>Carlos</t>
  </si>
  <si>
    <t>Fabiana</t>
  </si>
  <si>
    <t>Fernando</t>
  </si>
  <si>
    <t>Rótulos de Linha</t>
  </si>
  <si>
    <t>Total Geral</t>
  </si>
  <si>
    <t>Soma de Faturamento</t>
  </si>
  <si>
    <t>Contagem de Pedido</t>
  </si>
  <si>
    <t>Soma de Lucro</t>
  </si>
  <si>
    <t>Soma de Custo</t>
  </si>
  <si>
    <t>📊 DASHBOARD DE VENDAS</t>
  </si>
  <si>
    <t>FATURAMENTO</t>
  </si>
  <si>
    <t>LUCRO</t>
  </si>
  <si>
    <t>PEDIDOS</t>
  </si>
  <si>
    <t>TICKET MÉDIO</t>
  </si>
  <si>
    <t>Mês</t>
  </si>
  <si>
    <t>Mês_Texto</t>
  </si>
  <si>
    <t>Selecione o mês para atualizar os indicadores</t>
  </si>
  <si>
    <t>CUSTO</t>
  </si>
  <si>
    <t>fev</t>
  </si>
  <si>
    <t>mar</t>
  </si>
  <si>
    <t>jan</t>
  </si>
  <si>
    <t>abr</t>
  </si>
  <si>
    <t>mai</t>
  </si>
  <si>
    <t>jun</t>
  </si>
  <si>
    <t>jul</t>
  </si>
  <si>
    <t>ago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</si>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</sst>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R\$\ #,##0.00"/>
    <numFmt numFmtId="165" formatCode="0.0%"/>
    <numFmt numFmtId="166" formatCode="0.0"/>
    <numFmt numFmtId="167" formatCode="&quot;R$&quot;\ #,##0.0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204F"/>
      <name val="Calibri"/>
      <family val="2"/>
      <scheme val="minor"/>
    </font>
    <font>
      <b/>
      <sz val="22"/>
      <color rgb="FFFFFFFF"/>
      <name val="Calibri"/>
      <family val="2"/>
    </font>
    <font>
      <b/>
      <sz val="18"/>
      <color rgb="FF17365D"/>
      <name val="Calibri"/>
      <family val="2"/>
    </font>
    <font>
      <sz val="11"/>
      <color theme="1" tint="0.34998626667073579"/>
      <name val="Calibri Light"/>
      <family val="2"/>
      <scheme val="major"/>
    </font>
    <font>
      <sz val="11"/>
      <color rgb="FF0A0A0A"/>
      <name val="Arial Unicode MS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F75B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/>
    <xf numFmtId="0" fontId="0" fillId="3" borderId="0" xfId="0" applyFill="1"/>
    <xf numFmtId="0" fontId="3" fillId="5" borderId="0" xfId="0" applyFont="1" applyFill="1"/>
    <xf numFmtId="0" fontId="0" fillId="5" borderId="0" xfId="0" applyFill="1"/>
    <xf numFmtId="49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 applyAlignment="1">
      <alignment horizontal="center" vertical="center" wrapText="1"/>
    </xf>
    <xf numFmtId="167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color theme="1" tint="0.34998626667073579"/>
        <name val="Calibri Light"/>
        <family val="2"/>
        <scheme val="major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 patternType="solid">
          <bgColor theme="8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2 2" pivot="0" table="0" count="10" xr9:uid="{D0E71D69-B0EE-4C0B-8149-D42F40C5DAC9}">
      <tableStyleElement type="wholeTable" dxfId="1"/>
      <tableStyleElement type="headerRow" dxfId="0"/>
    </tableStyle>
  </tableStyles>
  <colors>
    <mruColors>
      <color rgb="FF599AD5"/>
      <color rgb="FF0033CC"/>
      <color rgb="FFFFFFFF"/>
      <color rgb="FF000066"/>
      <color rgb="FF0000FF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[Dashboard_de_Vendas.xlsx]Calculo!tbl_fat_total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Calculo!$D$3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Calculo!$C$4:$C$13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Calculo!$D$4:$D$13</c:f>
              <c:numCache>
                <c:formatCode>\R\$\ #,##0.00</c:formatCode>
                <c:ptCount val="9"/>
                <c:pt idx="0">
                  <c:v>126555.9</c:v>
                </c:pt>
                <c:pt idx="1">
                  <c:v>123642</c:v>
                </c:pt>
                <c:pt idx="2">
                  <c:v>143044</c:v>
                </c:pt>
                <c:pt idx="3">
                  <c:v>104507.5</c:v>
                </c:pt>
                <c:pt idx="4">
                  <c:v>146576.9</c:v>
                </c:pt>
                <c:pt idx="5">
                  <c:v>88161</c:v>
                </c:pt>
                <c:pt idx="6">
                  <c:v>134835.4</c:v>
                </c:pt>
                <c:pt idx="7">
                  <c:v>92892.5</c:v>
                </c:pt>
                <c:pt idx="8">
                  <c:v>151012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6-46B7-8806-5FC911EC4962}"/>
            </c:ext>
          </c:extLst>
        </c:ser>
        <c:ser>
          <c:idx val="1"/>
          <c:order val="1"/>
          <c:tx>
            <c:strRef>
              <c:f>Calculo!$E$3</c:f>
              <c:strCache>
                <c:ptCount val="1"/>
                <c:pt idx="0">
                  <c:v>Soma de Custo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Calculo!$C$4:$C$13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Calculo!$E$4:$E$13</c:f>
              <c:numCache>
                <c:formatCode>\R\$\ #,##0.00</c:formatCode>
                <c:ptCount val="9"/>
                <c:pt idx="0">
                  <c:v>84925</c:v>
                </c:pt>
                <c:pt idx="1">
                  <c:v>81240</c:v>
                </c:pt>
                <c:pt idx="2">
                  <c:v>97710</c:v>
                </c:pt>
                <c:pt idx="3">
                  <c:v>69365</c:v>
                </c:pt>
                <c:pt idx="4">
                  <c:v>100175</c:v>
                </c:pt>
                <c:pt idx="5">
                  <c:v>56880</c:v>
                </c:pt>
                <c:pt idx="6">
                  <c:v>90030</c:v>
                </c:pt>
                <c:pt idx="7">
                  <c:v>59375</c:v>
                </c:pt>
                <c:pt idx="8">
                  <c:v>100255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6-46B7-8806-5FC911EC4962}"/>
            </c:ext>
          </c:extLst>
        </c:ser>
        <c:ser>
          <c:idx val="2"/>
          <c:order val="2"/>
          <c:tx>
            <c:strRef>
              <c:f>Calculo!$F$3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Calculo!$C$4:$C$13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Calculo!$F$4:$F$13</c:f>
              <c:numCache>
                <c:formatCode>\R\$\ #,##0.00</c:formatCode>
                <c:ptCount val="9"/>
                <c:pt idx="0">
                  <c:v>41630.9</c:v>
                </c:pt>
                <c:pt idx="1">
                  <c:v>42402</c:v>
                </c:pt>
                <c:pt idx="2">
                  <c:v>45334</c:v>
                </c:pt>
                <c:pt idx="3">
                  <c:v>35142.5</c:v>
                </c:pt>
                <c:pt idx="4">
                  <c:v>46401.9</c:v>
                </c:pt>
                <c:pt idx="5">
                  <c:v>31281</c:v>
                </c:pt>
                <c:pt idx="6">
                  <c:v>44805.4</c:v>
                </c:pt>
                <c:pt idx="7">
                  <c:v>33517.5</c:v>
                </c:pt>
                <c:pt idx="8">
                  <c:v>50757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6-46B7-8806-5FC911EC4962}"/>
            </c:ext>
          </c:extLst>
        </c:ser>
        <c:ser>
          <c:idx val="3"/>
          <c:order val="3"/>
          <c:tx>
            <c:strRef>
              <c:f>Calculo!$G$3</c:f>
              <c:strCache>
                <c:ptCount val="1"/>
                <c:pt idx="0">
                  <c:v>Contagem de Pedido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Calculo!$C$4:$C$13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Calculo!$G$4:$G$13</c:f>
              <c:numCache>
                <c:formatCode>General</c:formatCode>
                <c:ptCount val="9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86-46B7-8806-5FC911EC49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02807552"/>
        <c:axId val="650556192"/>
      </c:barChart>
      <c:catAx>
        <c:axId val="602807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56192"/>
        <c:crosses val="autoZero"/>
        <c:auto val="1"/>
        <c:lblAlgn val="ctr"/>
        <c:lblOffset val="100"/>
        <c:noMultiLvlLbl val="0"/>
      </c:catAx>
      <c:valAx>
        <c:axId val="6505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80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[Dashboard_de_Vendas.xlsx]Calculo!tbl_cat_fat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</a:t>
            </a:r>
            <a:r>
              <a:rPr lang="pt-BR" baseline="0"/>
              <a:t> faturamento por categoria</a:t>
            </a:r>
          </a:p>
        </c:rich>
      </c:tx>
      <c:layout>
        <c:manualLayout>
          <c:xMode val="edge"/>
          <c:yMode val="edge"/>
          <c:x val="1.8325606044675168E-2"/>
          <c:y val="3.829382419114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33CC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3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599AD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19464189303789"/>
          <c:y val="0.25111598043470446"/>
          <c:w val="0.73447708205322237"/>
          <c:h val="0.6904281668144512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Calculo!$D$20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33C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95-47DA-A22C-6DA56AB0F2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95-47DA-A22C-6DA56AB0F2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95-47DA-A22C-6DA56AB0F2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95-47DA-A22C-6DA56AB0F28E}"/>
              </c:ext>
            </c:extLst>
          </c:dPt>
          <c:dPt>
            <c:idx val="4"/>
            <c:invertIfNegative val="0"/>
            <c:bubble3D val="0"/>
            <c:spPr>
              <a:solidFill>
                <a:srgbClr val="599AD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95-47DA-A22C-6DA56AB0F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Calculo!$C$21:$C$26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Informática</c:v>
                </c:pt>
                <c:pt idx="3">
                  <c:v>Móveis</c:v>
                </c:pt>
                <c:pt idx="4">
                  <c:v>Serviços</c:v>
                </c:pt>
              </c:strCache>
            </c:strRef>
          </c:cat>
          <c:val>
            <c:numRef>
              <c:f>Calculo!$D$21:$D$26</c:f>
              <c:numCache>
                <c:formatCode>\R\$\ #,##0.00</c:formatCode>
                <c:ptCount val="5"/>
                <c:pt idx="0">
                  <c:v>27313.200000000004</c:v>
                </c:pt>
                <c:pt idx="1">
                  <c:v>392398</c:v>
                </c:pt>
                <c:pt idx="2">
                  <c:v>405331</c:v>
                </c:pt>
                <c:pt idx="3">
                  <c:v>224242</c:v>
                </c:pt>
                <c:pt idx="4">
                  <c:v>61943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95-47DA-A22C-6DA56AB0F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997326408"/>
        <c:axId val="997328568"/>
        <c:axId val="0"/>
      </c:bar3DChart>
      <c:valAx>
        <c:axId val="997328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out"/>
        <c:minorTickMark val="none"/>
        <c:tickLblPos val="nextTo"/>
        <c:crossAx val="997326408"/>
        <c:crosses val="autoZero"/>
        <c:crossBetween val="between"/>
      </c:valAx>
      <c:catAx>
        <c:axId val="997326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328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[Dashboard_de_Vendas.xlsx]Calculo!tbl_cat_lucro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categoria</a:t>
            </a:r>
          </a:p>
        </c:rich>
      </c:tx>
      <c:layout>
        <c:manualLayout>
          <c:xMode val="edge"/>
          <c:yMode val="edge"/>
          <c:x val="2.0988075633574403E-2"/>
          <c:y val="5.1058457913960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Calculo!$H$20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D5-4576-9771-ACE2780E4C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D5-4576-9771-ACE2780E4C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D5-4576-9771-ACE2780E4C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D5-4576-9771-ACE2780E4C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D5-4576-9771-ACE2780E4C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Calculo!$G$21:$G$26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Informática</c:v>
                </c:pt>
                <c:pt idx="3">
                  <c:v>Móveis</c:v>
                </c:pt>
                <c:pt idx="4">
                  <c:v>Serviços</c:v>
                </c:pt>
              </c:strCache>
            </c:strRef>
          </c:cat>
          <c:val>
            <c:numRef>
              <c:f>Calculo!$H$21:$H$26</c:f>
              <c:numCache>
                <c:formatCode>\R\$\ #,##0.00</c:formatCode>
                <c:ptCount val="5"/>
                <c:pt idx="0">
                  <c:v>11758.199999999999</c:v>
                </c:pt>
                <c:pt idx="1">
                  <c:v>116548</c:v>
                </c:pt>
                <c:pt idx="2">
                  <c:v>120651</c:v>
                </c:pt>
                <c:pt idx="3">
                  <c:v>83602</c:v>
                </c:pt>
                <c:pt idx="4">
                  <c:v>38713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D5-4576-9771-ACE2780E4C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28866347869408"/>
          <c:y val="0.42250069853598915"/>
          <c:w val="0.20049053520352139"/>
          <c:h val="0.53851094239038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2049" name="AutoShape 1" descr="Logo tecnológico LondriTech Informática">
          <a:extLst>
            <a:ext uri="{FF2B5EF4-FFF2-40B4-BE49-F238E27FC236}">
              <a16:creationId xmlns:a16="http://schemas.microsoft.com/office/drawing/2014/main" id="{7FEB7D69-9B13-CEB7-C5AC-AF2AD2E579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2050" name="AutoShape 2" descr="Logo tecnológico LondriTech Informática">
          <a:extLst>
            <a:ext uri="{FF2B5EF4-FFF2-40B4-BE49-F238E27FC236}">
              <a16:creationId xmlns:a16="http://schemas.microsoft.com/office/drawing/2014/main" id="{A8C68182-7C67-FF5B-7002-193E0E4750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114300</xdr:rowOff>
    </xdr:to>
    <xdr:sp macro="" textlink="">
      <xdr:nvSpPr>
        <xdr:cNvPr id="2051" name="AutoShape 3" descr="Logo tecnológico LondriTech Informática">
          <a:extLst>
            <a:ext uri="{FF2B5EF4-FFF2-40B4-BE49-F238E27FC236}">
              <a16:creationId xmlns:a16="http://schemas.microsoft.com/office/drawing/2014/main" id="{A459CE38-404C-053B-2629-3537BEC5A8B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</xdr:row>
      <xdr:rowOff>47625</xdr:rowOff>
    </xdr:from>
    <xdr:to>
      <xdr:col>7</xdr:col>
      <xdr:colOff>310638</xdr:colOff>
      <xdr:row>10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9CFDAB5-3525-AF58-BDD3-806647EC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38125"/>
          <a:ext cx="4263513" cy="170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123920</xdr:colOff>
      <xdr:row>0</xdr:row>
      <xdr:rowOff>141462</xdr:rowOff>
    </xdr:from>
    <xdr:to>
      <xdr:col>0</xdr:col>
      <xdr:colOff>2029401</xdr:colOff>
      <xdr:row>4</xdr:row>
      <xdr:rowOff>235768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C3E1E2-31D8-4BB9-9EEB-8B065DAC1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" y="141462"/>
          <a:ext cx="1905481" cy="75445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66016</xdr:rowOff>
    </xdr:from>
    <xdr:to>
      <xdr:col>7</xdr:col>
      <xdr:colOff>0</xdr:colOff>
      <xdr:row>14</xdr:row>
      <xdr:rowOff>113168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3C7E5F-7ABE-4D97-A414-59F9CCF9F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188614</xdr:colOff>
      <xdr:row>6</xdr:row>
      <xdr:rowOff>66016</xdr:rowOff>
    </xdr:from>
    <xdr:to>
      <xdr:col>0</xdr:col>
      <xdr:colOff>2017414</xdr:colOff>
      <xdr:row>25</xdr:row>
      <xdr:rowOff>119062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enu_mes">
              <a:extLst>
                <a:ext uri="{FF2B5EF4-FFF2-40B4-BE49-F238E27FC236}">
                  <a16:creationId xmlns:a16="http://schemas.microsoft.com/office/drawing/2014/main" id="{E99D082C-35D8-40D4-9B8B-BE12504B4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nu_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614" y="1486262"/>
              <a:ext cx="1828800" cy="3607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2</xdr:col>
      <xdr:colOff>27370</xdr:colOff>
      <xdr:row>15</xdr:row>
      <xdr:rowOff>18859</xdr:rowOff>
    </xdr:from>
    <xdr:to>
      <xdr:col>4</xdr:col>
      <xdr:colOff>756901</xdr:colOff>
      <xdr:row>25</xdr:row>
      <xdr:rowOff>122597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3E6CB8-4A1F-4E84-AA2F-312F3B383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841941</xdr:colOff>
      <xdr:row>15</xdr:row>
      <xdr:rowOff>18861</xdr:rowOff>
    </xdr:from>
    <xdr:to>
      <xdr:col>7</xdr:col>
      <xdr:colOff>8504</xdr:colOff>
      <xdr:row>25</xdr:row>
      <xdr:rowOff>122598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D0814F7-103B-4574-94FB-2A4315A29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luk" refreshedDate="46291.972192476853" createdVersion="8" refreshedVersion="8" minRefreshableVersion="3" recordCount="150" xr:uid="{57F361BB-03FD-4980-A660-A3AA4357A970}">
  <cacheSource type="worksheet">
    <worksheetSource ref="A1:R151" sheet="Base"/>
  </cacheSource>
  <cacheFields count="18">
    <cacheField name="Data" numFmtId="14">
      <sharedItems containsSemiMixedTypes="0" containsNonDate="0" containsDate="1" containsString="0" minDate="2026-01-01T00:00:00" maxDate="2026-09-28T00:00:00"/>
    </cacheField>
    <cacheField name="Mês" numFmtId="49">
      <sharedItems containsSemiMixedTypes="0" containsString="0" containsNumber="1" containsInteger="1" minValue="1" maxValue="9"/>
    </cacheField>
    <cacheField name="Mês_Texto" numFmtId="0">
      <sharedItems containsBlank="1" count="10">
        <s v="jan"/>
        <s v="fev"/>
        <s v="mar"/>
        <s v="abr"/>
        <s v="mai"/>
        <s v="jun"/>
        <s v="jul"/>
        <s v="ago"/>
        <s v="set"/>
        <m u="1"/>
      </sharedItems>
    </cacheField>
    <cacheField name="Pedido" numFmtId="0">
      <sharedItems containsSemiMixedTypes="0" containsString="0" containsNumber="1" containsInteger="1" minValue="10001" maxValue="10150"/>
    </cacheField>
    <cacheField name="Cliente" numFmtId="0">
      <sharedItems/>
    </cacheField>
    <cacheField name="Vendedor" numFmtId="0">
      <sharedItems/>
    </cacheField>
    <cacheField name="Produto" numFmtId="0">
      <sharedItems/>
    </cacheField>
    <cacheField name="Categoria" numFmtId="0">
      <sharedItems count="5">
        <s v="Informática"/>
        <s v="Móveis"/>
        <s v="Serviços"/>
        <s v="Acessórios"/>
        <s v="Eletrônicos"/>
      </sharedItems>
    </cacheField>
    <cacheField name="Região" numFmtId="0">
      <sharedItems/>
    </cacheField>
    <cacheField name="Estado" numFmtId="0">
      <sharedItems/>
    </cacheField>
    <cacheField name="Quant" numFmtId="0">
      <sharedItems containsSemiMixedTypes="0" containsString="0" containsNumber="1" containsInteger="1" minValue="1" maxValue="8"/>
    </cacheField>
    <cacheField name="Vlr Unitário" numFmtId="164">
      <sharedItems containsSemiMixedTypes="0" containsString="0" containsNumber="1" containsInteger="1" minValue="180" maxValue="4200"/>
    </cacheField>
    <cacheField name="Desconto %" numFmtId="165">
      <sharedItems containsSemiMixedTypes="0" containsString="0" containsNumber="1" minValue="0" maxValue="0.1"/>
    </cacheField>
    <cacheField name="Faturamento" numFmtId="164">
      <sharedItems containsSemiMixedTypes="0" containsString="0" containsNumber="1" minValue="315" maxValue="33390"/>
    </cacheField>
    <cacheField name="Custo" numFmtId="164">
      <sharedItems containsSemiMixedTypes="0" containsString="0" containsNumber="1" containsInteger="1" minValue="120" maxValue="24000"/>
    </cacheField>
    <cacheField name="Lucro" numFmtId="164">
      <sharedItems containsSemiMixedTypes="0" containsString="0" containsNumber="1" minValue="128" maxValue="9390"/>
    </cacheField>
    <cacheField name="Margem %" numFmtId="166">
      <sharedItems containsSemiMixedTypes="0" containsString="0" containsNumber="1" minValue="0" maxValue="65.714285714285708"/>
    </cacheField>
    <cacheField name="Forma Pgto" numFmtId="0">
      <sharedItems/>
    </cacheField>
  </cacheFields>
  <extLst>
    <ext xmlns:x14="http://schemas.microsoft.com/office/spreadsheetml/2009/9/main" uri="{725AE2AE-9491-48be-B2B4-4EB974FC3084}">
      <x14:pivotCacheDefinition pivotCacheId="11097387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6-01-02T00:00:00"/>
    <n v="1"/>
    <x v="0"/>
    <n v="10028"/>
    <s v="Paraná Digital"/>
    <s v="Bruno"/>
    <s v="Notebook Pro"/>
    <x v="0"/>
    <s v="Sul"/>
    <s v="PR"/>
    <n v="8"/>
    <n v="4200"/>
    <n v="0.08"/>
    <n v="33264"/>
    <n v="24000"/>
    <n v="9264"/>
    <n v="27.849927849927852"/>
    <s v="PIX"/>
  </r>
  <r>
    <d v="2026-01-14T00:00:00"/>
    <n v="1"/>
    <x v="0"/>
    <n v="10046"/>
    <s v="Beta Comércio"/>
    <s v="Carla"/>
    <s v="Monitor 24"/>
    <x v="0"/>
    <s v="Nordeste"/>
    <s v="PE"/>
    <n v="6"/>
    <n v="1150"/>
    <n v="0.08"/>
    <n v="6808"/>
    <n v="4560"/>
    <n v="2248"/>
    <n v="33.019976498237369"/>
    <s v="Boleto"/>
  </r>
  <r>
    <d v="2026-01-16T00:00:00"/>
    <n v="1"/>
    <x v="0"/>
    <n v="10010"/>
    <s v="Delta Serviços"/>
    <s v="Fernanda"/>
    <s v="Mesa Office"/>
    <x v="1"/>
    <s v="Nordeste"/>
    <s v="PE"/>
    <n v="8"/>
    <n v="1450"/>
    <n v="0"/>
    <n v="11600"/>
    <n v="7200"/>
    <n v="4400"/>
    <n v="37.931034482758619"/>
    <s v="Boleto"/>
  </r>
  <r>
    <d v="2026-01-17T00:00:00"/>
    <n v="1"/>
    <x v="0"/>
    <n v="10019"/>
    <s v="Nova Era"/>
    <s v="Ana"/>
    <s v="Cadeira Ergo"/>
    <x v="1"/>
    <s v="Norte"/>
    <s v="PA"/>
    <n v="2"/>
    <n v="1250"/>
    <n v="0"/>
    <n v="2500"/>
    <n v="1560"/>
    <n v="940"/>
    <n v="37.6"/>
    <s v="Cartão"/>
  </r>
  <r>
    <d v="2026-01-21T00:00:00"/>
    <n v="1"/>
    <x v="0"/>
    <n v="10001"/>
    <s v="Delta Serviços"/>
    <s v="Bruno"/>
    <s v="Monitor 24"/>
    <x v="0"/>
    <s v="Sudeste"/>
    <s v="RJ"/>
    <n v="1"/>
    <n v="1150"/>
    <n v="0.1"/>
    <n v="1035"/>
    <n v="760"/>
    <n v="275"/>
    <n v="26.570048309178745"/>
    <s v="PIX"/>
  </r>
  <r>
    <d v="2026-01-23T00:00:00"/>
    <n v="1"/>
    <x v="0"/>
    <n v="10037"/>
    <s v="Gamma Tech"/>
    <s v="Fernando"/>
    <s v="Mesa Office"/>
    <x v="1"/>
    <s v="Sul"/>
    <s v="RS"/>
    <n v="1"/>
    <n v="1450"/>
    <n v="0"/>
    <n v="1450"/>
    <n v="900"/>
    <n v="550"/>
    <n v="37.931034482758619"/>
    <s v="Boleto"/>
  </r>
  <r>
    <d v="2026-02-01T00:00:00"/>
    <n v="2"/>
    <x v="1"/>
    <n v="10020"/>
    <s v="Alfa Ltda"/>
    <s v="Carla"/>
    <s v="Monitor 24"/>
    <x v="0"/>
    <s v="Sudeste"/>
    <s v="MG"/>
    <n v="1"/>
    <n v="1150"/>
    <n v="0.1"/>
    <n v="1035"/>
    <n v="760"/>
    <n v="275"/>
    <n v="26.570048309178745"/>
    <s v="Cartão"/>
  </r>
  <r>
    <d v="2026-02-03T00:00:00"/>
    <n v="2"/>
    <x v="1"/>
    <n v="10029"/>
    <s v="Prime Corp"/>
    <s v="Ana"/>
    <s v="Instalação"/>
    <x v="2"/>
    <s v="Norte"/>
    <s v="PA"/>
    <n v="2"/>
    <n v="350"/>
    <n v="0.1"/>
    <n v="665"/>
    <n v="240"/>
    <n v="425"/>
    <n v="63.909774436090231"/>
    <s v="Cartão"/>
  </r>
  <r>
    <d v="2026-02-11T00:00:00"/>
    <n v="2"/>
    <x v="1"/>
    <n v="10047"/>
    <s v="Prime Corp"/>
    <s v="Diego"/>
    <s v="Mesa Office"/>
    <x v="1"/>
    <s v="Sul"/>
    <s v="SC"/>
    <n v="5"/>
    <n v="1450"/>
    <n v="0.08"/>
    <n v="7134"/>
    <n v="4500"/>
    <n v="2634"/>
    <n v="36.921783010933559"/>
    <s v="Boleto"/>
  </r>
  <r>
    <d v="2026-02-14T00:00:00"/>
    <n v="2"/>
    <x v="1"/>
    <n v="10002"/>
    <s v="Paraná Digital"/>
    <s v="Fernanda"/>
    <s v="Notebook Pro"/>
    <x v="0"/>
    <s v="Sul"/>
    <s v="RS"/>
    <n v="1"/>
    <n v="4200"/>
    <n v="0"/>
    <n v="4200"/>
    <n v="3000"/>
    <n v="1200"/>
    <n v="28.571428571428569"/>
    <s v="Cartão"/>
  </r>
  <r>
    <d v="2026-02-18T00:00:00"/>
    <n v="2"/>
    <x v="1"/>
    <n v="10038"/>
    <s v="Nova Era"/>
    <s v="Ana"/>
    <s v="Teclado Mecânico"/>
    <x v="3"/>
    <s v="Sudeste"/>
    <s v="RJ"/>
    <n v="7"/>
    <n v="420"/>
    <n v="0"/>
    <n v="2940"/>
    <n v="1750"/>
    <n v="1190"/>
    <n v="40.476190476190474"/>
    <s v="Cartão"/>
  </r>
  <r>
    <d v="2026-02-19T00:00:00"/>
    <n v="2"/>
    <x v="1"/>
    <n v="10011"/>
    <s v="Gamma Tech"/>
    <s v="Fernanda"/>
    <s v="Mesa Office"/>
    <x v="1"/>
    <s v="Nordeste"/>
    <s v="BA"/>
    <n v="6"/>
    <n v="1450"/>
    <n v="0"/>
    <n v="8700"/>
    <n v="5400"/>
    <n v="3300"/>
    <n v="37.931034482758619"/>
    <s v="PIX"/>
  </r>
  <r>
    <d v="2026-03-08T00:00:00"/>
    <n v="3"/>
    <x v="2"/>
    <n v="10039"/>
    <s v="Prime Corp"/>
    <s v="Fernanda"/>
    <s v="Monitor 24"/>
    <x v="0"/>
    <s v="Sul"/>
    <s v="PR"/>
    <n v="6"/>
    <n v="1150"/>
    <n v="0.08"/>
    <n v="6808"/>
    <n v="4560"/>
    <n v="2248"/>
    <n v="33.019976498237369"/>
    <s v="Cartão"/>
  </r>
  <r>
    <d v="2026-03-18T00:00:00"/>
    <n v="3"/>
    <x v="2"/>
    <n v="10048"/>
    <s v="Sulmax"/>
    <s v="Fernanda"/>
    <s v="Notebook Pro"/>
    <x v="0"/>
    <s v="Sudeste"/>
    <s v="MG"/>
    <n v="5"/>
    <n v="4200"/>
    <n v="0.02"/>
    <n v="20916"/>
    <n v="15000"/>
    <n v="5916"/>
    <n v="28.284566838783704"/>
    <s v="Transferência"/>
  </r>
  <r>
    <d v="2026-03-20T00:00:00"/>
    <n v="3"/>
    <x v="2"/>
    <n v="10030"/>
    <s v="Paraná Digital"/>
    <s v="Carla"/>
    <s v="Monitor 24"/>
    <x v="0"/>
    <s v="Sudeste"/>
    <s v="RJ"/>
    <n v="7"/>
    <n v="1150"/>
    <n v="0.1"/>
    <n v="7935"/>
    <n v="5320"/>
    <n v="2615"/>
    <n v="32.955261499684937"/>
    <s v="Cartão"/>
  </r>
  <r>
    <d v="2026-03-21T00:00:00"/>
    <n v="3"/>
    <x v="2"/>
    <n v="10003"/>
    <s v="Omega Solutions"/>
    <s v="Ana"/>
    <s v="Suporte TI"/>
    <x v="2"/>
    <s v="Sul"/>
    <s v="SC"/>
    <n v="7"/>
    <n v="650"/>
    <n v="0"/>
    <n v="4550"/>
    <n v="1750"/>
    <n v="2800"/>
    <n v="61.53846153846154"/>
    <s v="Transferência"/>
  </r>
  <r>
    <d v="2026-03-22T00:00:00"/>
    <n v="3"/>
    <x v="2"/>
    <n v="10021"/>
    <s v="Sulmax"/>
    <s v="Fernanda"/>
    <s v="Cadeira Ergo"/>
    <x v="1"/>
    <s v="Nordeste"/>
    <s v="PE"/>
    <n v="4"/>
    <n v="1250"/>
    <n v="0.08"/>
    <n v="4900"/>
    <n v="3120"/>
    <n v="1780"/>
    <n v="36.326530612244902"/>
    <s v="Cartão"/>
  </r>
  <r>
    <d v="2026-03-28T00:00:00"/>
    <n v="3"/>
    <x v="2"/>
    <n v="10012"/>
    <s v="Prime Corp"/>
    <s v="Fernanda"/>
    <s v="Monitor 24"/>
    <x v="0"/>
    <s v="Sudeste"/>
    <s v="MG"/>
    <n v="3"/>
    <n v="1150"/>
    <n v="0.1"/>
    <n v="3335"/>
    <n v="2280"/>
    <n v="1055"/>
    <n v="31.634182908545728"/>
    <s v="Transferência"/>
  </r>
  <r>
    <d v="2026-04-09T00:00:00"/>
    <n v="4"/>
    <x v="3"/>
    <n v="10004"/>
    <s v="Prime Corp"/>
    <s v="Ana"/>
    <s v="Teclado Mecânico"/>
    <x v="3"/>
    <s v="Sudeste"/>
    <s v="RJ"/>
    <n v="4"/>
    <n v="420"/>
    <n v="0.02"/>
    <n v="1671.6"/>
    <n v="1000"/>
    <n v="671.59999999999991"/>
    <n v="40.177075855467812"/>
    <s v="Boleto"/>
  </r>
  <r>
    <d v="2026-04-15T00:00:00"/>
    <n v="4"/>
    <x v="3"/>
    <n v="10049"/>
    <s v="Beta Comércio"/>
    <s v="Carla"/>
    <s v="Mouse Sem Fio"/>
    <x v="3"/>
    <s v="Nordeste"/>
    <s v="BA"/>
    <n v="8"/>
    <n v="180"/>
    <n v="0.1"/>
    <n v="1422"/>
    <n v="760"/>
    <n v="662"/>
    <n v="46.554149085794656"/>
    <s v="Boleto"/>
  </r>
  <r>
    <d v="2026-04-20T00:00:00"/>
    <n v="4"/>
    <x v="3"/>
    <n v="10013"/>
    <s v="Alfa Ltda"/>
    <s v="Ana"/>
    <s v="Cadeira Ergo"/>
    <x v="1"/>
    <s v="Nordeste"/>
    <s v="PE"/>
    <n v="5"/>
    <n v="1250"/>
    <n v="0.08"/>
    <n v="6150"/>
    <n v="3900"/>
    <n v="2250"/>
    <n v="36.585365853658537"/>
    <s v="Boleto"/>
  </r>
  <r>
    <d v="2026-04-23T00:00:00"/>
    <n v="4"/>
    <x v="3"/>
    <n v="10031"/>
    <s v="Omega Solutions"/>
    <s v="Diego"/>
    <s v="TV 50"/>
    <x v="4"/>
    <s v="Sudeste"/>
    <s v="SP"/>
    <n v="4"/>
    <n v="3200"/>
    <n v="0.02"/>
    <n v="12736"/>
    <n v="9000"/>
    <n v="3736"/>
    <n v="29.334170854271356"/>
    <s v="PIX"/>
  </r>
  <r>
    <d v="2026-04-26T00:00:00"/>
    <n v="4"/>
    <x v="3"/>
    <n v="10040"/>
    <s v="Nova Era"/>
    <s v="Diego"/>
    <s v="Teclado Mecânico"/>
    <x v="3"/>
    <s v="Sul"/>
    <s v="PR"/>
    <n v="7"/>
    <n v="420"/>
    <n v="0"/>
    <n v="2940"/>
    <n v="1750"/>
    <n v="1190"/>
    <n v="40.476190476190474"/>
    <s v="Boleto"/>
  </r>
  <r>
    <d v="2026-04-26T00:00:00"/>
    <n v="4"/>
    <x v="3"/>
    <n v="10022"/>
    <s v="Prime Corp"/>
    <s v="Carla"/>
    <s v="Mesa Office"/>
    <x v="1"/>
    <s v="Centro-Oeste"/>
    <s v="GO"/>
    <n v="4"/>
    <n v="1450"/>
    <n v="0"/>
    <n v="5800"/>
    <n v="3600"/>
    <n v="2200"/>
    <n v="37.931034482758619"/>
    <s v="Transferência"/>
  </r>
  <r>
    <d v="2026-05-04T00:00:00"/>
    <n v="5"/>
    <x v="4"/>
    <n v="10014"/>
    <s v="Omega Solutions"/>
    <s v="Fernanda"/>
    <s v="Smartphone X"/>
    <x v="4"/>
    <s v="Sul"/>
    <s v="RS"/>
    <n v="7"/>
    <n v="2600"/>
    <n v="0"/>
    <n v="18200"/>
    <n v="12600"/>
    <n v="5600"/>
    <n v="30.76923076923077"/>
    <s v="PIX"/>
  </r>
  <r>
    <d v="2026-05-09T00:00:00"/>
    <n v="5"/>
    <x v="4"/>
    <n v="10005"/>
    <s v="Prime Corp"/>
    <s v="Ana"/>
    <s v="Notebook Pro"/>
    <x v="0"/>
    <s v="Nordeste"/>
    <s v="PE"/>
    <n v="8"/>
    <n v="4200"/>
    <n v="0.08"/>
    <n v="33264"/>
    <n v="24000"/>
    <n v="9264"/>
    <n v="27.849927849927852"/>
    <s v="Boleto"/>
  </r>
  <r>
    <d v="2026-05-15T00:00:00"/>
    <n v="5"/>
    <x v="4"/>
    <n v="10032"/>
    <s v="Paraná Digital"/>
    <s v="Carla"/>
    <s v="Instalação"/>
    <x v="2"/>
    <s v="Sul"/>
    <s v="PR"/>
    <n v="2"/>
    <n v="350"/>
    <n v="0"/>
    <n v="700"/>
    <n v="240"/>
    <n v="460"/>
    <n v="65.714285714285708"/>
    <s v="Boleto"/>
  </r>
  <r>
    <d v="2026-05-26T00:00:00"/>
    <n v="5"/>
    <x v="4"/>
    <n v="10041"/>
    <s v="Delta Serviços"/>
    <s v="Maria"/>
    <s v="Monitor 24"/>
    <x v="0"/>
    <s v="Nordeste"/>
    <s v="PE"/>
    <n v="7"/>
    <n v="1150"/>
    <n v="0.02"/>
    <n v="8027"/>
    <n v="5320"/>
    <n v="2707"/>
    <n v="33.723682571321788"/>
    <s v="Boleto"/>
  </r>
  <r>
    <d v="2026-05-28T00:00:00"/>
    <n v="5"/>
    <x v="4"/>
    <n v="10023"/>
    <s v="Nova Era"/>
    <s v="Ana"/>
    <s v="Notebook Pro"/>
    <x v="0"/>
    <s v="Sul"/>
    <s v="PR"/>
    <n v="2"/>
    <n v="4200"/>
    <n v="0"/>
    <n v="8400"/>
    <n v="6000"/>
    <n v="2400"/>
    <n v="28.571428571428569"/>
    <s v="Cartão"/>
  </r>
  <r>
    <d v="2026-06-08T00:00:00"/>
    <n v="6"/>
    <x v="5"/>
    <n v="10033"/>
    <s v="Paraná Digital"/>
    <s v="Carla"/>
    <s v="TV 50"/>
    <x v="4"/>
    <s v="Norte"/>
    <s v="PA"/>
    <n v="5"/>
    <n v="3200"/>
    <n v="0"/>
    <n v="16000"/>
    <n v="11250"/>
    <n v="4750"/>
    <n v="29.6875"/>
    <s v="PIX"/>
  </r>
  <r>
    <d v="2026-06-10T00:00:00"/>
    <n v="6"/>
    <x v="5"/>
    <n v="10015"/>
    <s v="Gamma Tech"/>
    <s v="Fernanda"/>
    <s v="Suporte TI"/>
    <x v="2"/>
    <s v="Nordeste"/>
    <s v="PE"/>
    <n v="4"/>
    <n v="650"/>
    <n v="0"/>
    <n v="2600"/>
    <n v="1000"/>
    <n v="1600"/>
    <n v="61.53846153846154"/>
    <s v="PIX"/>
  </r>
  <r>
    <d v="2026-06-18T00:00:00"/>
    <n v="6"/>
    <x v="5"/>
    <n v="10024"/>
    <s v="Londri Office"/>
    <s v="Bruno"/>
    <s v="Cadeira Ergo"/>
    <x v="1"/>
    <s v="Sudeste"/>
    <s v="RJ"/>
    <n v="3"/>
    <n v="1250"/>
    <n v="0.05"/>
    <n v="3687.5"/>
    <n v="2340"/>
    <n v="1347.5"/>
    <n v="36.542372881355931"/>
    <s v="Transferência"/>
  </r>
  <r>
    <d v="2026-06-19T00:00:00"/>
    <n v="6"/>
    <x v="5"/>
    <n v="10006"/>
    <s v="Omega Solutions"/>
    <s v="Ana"/>
    <s v="Mouse Sem Fio"/>
    <x v="3"/>
    <s v="Sul"/>
    <s v="SC"/>
    <n v="2"/>
    <n v="180"/>
    <n v="0"/>
    <n v="360"/>
    <n v="190"/>
    <n v="170"/>
    <n v="47.222222222222221"/>
    <s v="PIX"/>
  </r>
  <r>
    <d v="2026-06-27T00:00:00"/>
    <n v="6"/>
    <x v="5"/>
    <n v="10042"/>
    <s v="Prime Corp"/>
    <s v="Carla"/>
    <s v="Mouse Sem Fio"/>
    <x v="3"/>
    <s v="Sudeste"/>
    <s v="MG"/>
    <n v="4"/>
    <n v="180"/>
    <n v="0"/>
    <n v="720"/>
    <n v="380"/>
    <n v="340"/>
    <n v="47.222222222222221"/>
    <s v="PIX"/>
  </r>
  <r>
    <d v="2026-07-04T00:00:00"/>
    <n v="7"/>
    <x v="6"/>
    <n v="10025"/>
    <s v="Delta Serviços"/>
    <s v="Carlos"/>
    <s v="Notebook Pro"/>
    <x v="0"/>
    <s v="Centro-Oeste"/>
    <s v="GO"/>
    <n v="1"/>
    <n v="4200"/>
    <n v="0"/>
    <n v="4200"/>
    <n v="3000"/>
    <n v="1200"/>
    <n v="28.571428571428569"/>
    <s v="Transferência"/>
  </r>
  <r>
    <d v="2026-07-09T00:00:00"/>
    <n v="7"/>
    <x v="6"/>
    <n v="10007"/>
    <s v="Delta Serviços"/>
    <s v="Carla"/>
    <s v="Cadeira Ergo"/>
    <x v="1"/>
    <s v="Sudeste"/>
    <s v="RJ"/>
    <n v="6"/>
    <n v="1250"/>
    <n v="0"/>
    <n v="7500"/>
    <n v="4680"/>
    <n v="2820"/>
    <n v="37.6"/>
    <s v="Cartão"/>
  </r>
  <r>
    <d v="2026-07-12T00:00:00"/>
    <n v="7"/>
    <x v="6"/>
    <n v="10043"/>
    <s v="Paraná Digital"/>
    <s v="Carla"/>
    <s v="Suporte TI"/>
    <x v="2"/>
    <s v="Sul"/>
    <s v="SC"/>
    <n v="7"/>
    <n v="650"/>
    <n v="0.1"/>
    <n v="4485"/>
    <n v="1750"/>
    <n v="2735"/>
    <n v="60.981047937569677"/>
    <s v="PIX"/>
  </r>
  <r>
    <d v="2026-07-16T00:00:00"/>
    <n v="7"/>
    <x v="6"/>
    <n v="10016"/>
    <s v="Omega Solutions"/>
    <s v="Bruno"/>
    <s v="Notebook Pro"/>
    <x v="0"/>
    <s v="Sul"/>
    <s v="RS"/>
    <n v="2"/>
    <n v="4200"/>
    <n v="0.02"/>
    <n v="8316"/>
    <n v="6000"/>
    <n v="2316"/>
    <n v="27.849927849927852"/>
    <s v="Cartão"/>
  </r>
  <r>
    <d v="2026-07-22T00:00:00"/>
    <n v="7"/>
    <x v="6"/>
    <n v="10034"/>
    <s v="Beta Comércio"/>
    <s v="Fernanda"/>
    <s v="Monitor 24"/>
    <x v="0"/>
    <s v="Sul"/>
    <s v="SC"/>
    <n v="3"/>
    <n v="1150"/>
    <n v="0.02"/>
    <n v="3427"/>
    <n v="2280"/>
    <n v="1147"/>
    <n v="33.469506857309597"/>
    <s v="Boleto"/>
  </r>
  <r>
    <d v="2026-08-03T00:00:00"/>
    <n v="8"/>
    <x v="7"/>
    <n v="10017"/>
    <s v="Paraná Digital"/>
    <s v="Bruno"/>
    <s v="Monitor 24"/>
    <x v="0"/>
    <s v="Sul"/>
    <s v="RS"/>
    <n v="8"/>
    <n v="1150"/>
    <n v="0"/>
    <n v="9200"/>
    <n v="6080"/>
    <n v="3120"/>
    <n v="33.913043478260867"/>
    <s v="Transferência"/>
  </r>
  <r>
    <d v="2026-08-06T00:00:00"/>
    <n v="8"/>
    <x v="7"/>
    <n v="10044"/>
    <s v="Prime Corp"/>
    <s v="Carla"/>
    <s v="Instalação"/>
    <x v="2"/>
    <s v="Sudeste"/>
    <s v="RJ"/>
    <n v="5"/>
    <n v="350"/>
    <n v="0"/>
    <n v="1750"/>
    <n v="600"/>
    <n v="1150"/>
    <n v="65.714285714285708"/>
    <s v="Transferência"/>
  </r>
  <r>
    <d v="2026-08-07T00:00:00"/>
    <n v="8"/>
    <x v="7"/>
    <n v="10026"/>
    <s v="Prime Corp"/>
    <s v="Carla"/>
    <s v="Mesa Office"/>
    <x v="1"/>
    <s v="Nordeste"/>
    <s v="PE"/>
    <n v="1"/>
    <n v="1450"/>
    <n v="0"/>
    <n v="1450"/>
    <n v="900"/>
    <n v="550"/>
    <n v="37.931034482758619"/>
    <s v="Boleto"/>
  </r>
  <r>
    <d v="2026-08-20T00:00:00"/>
    <n v="8"/>
    <x v="7"/>
    <n v="10035"/>
    <s v="Omega Solutions"/>
    <s v="Fernanda"/>
    <s v="Mouse Sem Fio"/>
    <x v="3"/>
    <s v="Nordeste"/>
    <s v="BA"/>
    <n v="6"/>
    <n v="180"/>
    <n v="0"/>
    <n v="1080"/>
    <n v="570"/>
    <n v="510"/>
    <n v="47.222222222222221"/>
    <s v="Boleto"/>
  </r>
  <r>
    <d v="2026-08-24T00:00:00"/>
    <n v="8"/>
    <x v="7"/>
    <n v="10008"/>
    <s v="Paraná Digital"/>
    <s v="Bruno"/>
    <s v="Mouse Sem Fio"/>
    <x v="3"/>
    <s v="Sudeste"/>
    <s v="SP"/>
    <n v="3"/>
    <n v="180"/>
    <n v="0.05"/>
    <n v="531"/>
    <n v="285"/>
    <n v="246"/>
    <n v="46.327683615819211"/>
    <s v="PIX"/>
  </r>
  <r>
    <d v="2026-09-03T00:00:00"/>
    <n v="9"/>
    <x v="8"/>
    <n v="10036"/>
    <s v="Gamma Tech"/>
    <s v="Carla"/>
    <s v="Mesa Office"/>
    <x v="1"/>
    <s v="Sul"/>
    <s v="RS"/>
    <n v="5"/>
    <n v="1450"/>
    <n v="0"/>
    <n v="7250"/>
    <n v="4500"/>
    <n v="2750"/>
    <n v="37.931034482758619"/>
    <s v="Transferência"/>
  </r>
  <r>
    <d v="2026-09-06T00:00:00"/>
    <n v="9"/>
    <x v="8"/>
    <n v="10018"/>
    <s v="Delta Serviços"/>
    <s v="Carla"/>
    <s v="Smartphone X"/>
    <x v="4"/>
    <s v="Centro-Oeste"/>
    <s v="GO"/>
    <n v="7"/>
    <n v="2600"/>
    <n v="0"/>
    <n v="18200"/>
    <n v="12600"/>
    <n v="5600"/>
    <n v="30.76923076923077"/>
    <s v="Boleto"/>
  </r>
  <r>
    <d v="2026-09-17T00:00:00"/>
    <n v="9"/>
    <x v="8"/>
    <n v="10045"/>
    <s v="Alfa Ltda"/>
    <s v="Diego"/>
    <s v="Monitor 24"/>
    <x v="0"/>
    <s v="Sul"/>
    <s v="SC"/>
    <n v="7"/>
    <n v="1150"/>
    <n v="0.08"/>
    <n v="7958"/>
    <n v="5320"/>
    <n v="2638"/>
    <n v="33.149032420206083"/>
    <s v="Cartão"/>
  </r>
  <r>
    <d v="2026-09-23T00:00:00"/>
    <n v="9"/>
    <x v="8"/>
    <n v="10027"/>
    <s v="Delta Serviços"/>
    <s v="Ana"/>
    <s v="Suporte TI"/>
    <x v="2"/>
    <s v="Norte"/>
    <s v="PA"/>
    <n v="8"/>
    <n v="650"/>
    <n v="0"/>
    <n v="5200"/>
    <n v="2000"/>
    <n v="3200"/>
    <n v="61.53846153846154"/>
    <s v="PIX"/>
  </r>
  <r>
    <d v="2026-09-27T00:00:00"/>
    <n v="9"/>
    <x v="8"/>
    <n v="10009"/>
    <s v="Delta Serviços"/>
    <s v="Fabiana"/>
    <s v="Notebook Pro"/>
    <x v="0"/>
    <s v="Sudeste"/>
    <s v="RJ"/>
    <n v="6"/>
    <n v="4200"/>
    <n v="0.05"/>
    <n v="24990"/>
    <n v="18000"/>
    <n v="6990"/>
    <n v="27.971188475390157"/>
    <s v="Cartão"/>
  </r>
  <r>
    <d v="2026-05-27T00:00:00"/>
    <n v="5"/>
    <x v="4"/>
    <n v="10050"/>
    <s v="Gamma Tech"/>
    <s v="Ana"/>
    <s v="Mouse Sem Fio"/>
    <x v="3"/>
    <s v="Sul"/>
    <s v="SC"/>
    <n v="5"/>
    <n v="180"/>
    <n v="0"/>
    <n v="900"/>
    <n v="475"/>
    <n v="425"/>
    <n v="0.47222222222222221"/>
    <s v="Cartão"/>
  </r>
  <r>
    <d v="2026-06-20T00:00:00"/>
    <n v="6"/>
    <x v="5"/>
    <n v="10051"/>
    <s v="Sulmax"/>
    <s v="Bruno"/>
    <s v="Monitor 24"/>
    <x v="0"/>
    <s v="Centro-Oeste"/>
    <s v="GO"/>
    <n v="8"/>
    <n v="1150"/>
    <n v="0.05"/>
    <n v="9142.5"/>
    <n v="6080"/>
    <n v="3062.5"/>
    <n v="0.30434782608695649"/>
    <s v="Transferência"/>
  </r>
  <r>
    <d v="2026-07-08T00:00:00"/>
    <n v="7"/>
    <x v="6"/>
    <n v="10052"/>
    <s v="Delta Serviços"/>
    <s v="Bruno"/>
    <s v="Teclado Mecânico"/>
    <x v="3"/>
    <s v="Nordeste"/>
    <s v="BA"/>
    <n v="1"/>
    <n v="420"/>
    <n v="0"/>
    <n v="420"/>
    <n v="250"/>
    <n v="170"/>
    <n v="0.40476190476190482"/>
    <s v="Transferência"/>
  </r>
  <r>
    <d v="2026-08-18T00:00:00"/>
    <n v="8"/>
    <x v="7"/>
    <n v="10053"/>
    <s v="Londri Office"/>
    <s v="Fernanda"/>
    <s v="Mouse Sem Fio"/>
    <x v="3"/>
    <s v="Nordeste"/>
    <s v="PE"/>
    <n v="2"/>
    <n v="180"/>
    <n v="0.05"/>
    <n v="351"/>
    <n v="190"/>
    <n v="161"/>
    <n v="0.44444444444444442"/>
    <s v="Boleto"/>
  </r>
  <r>
    <d v="2026-09-20T00:00:00"/>
    <n v="9"/>
    <x v="8"/>
    <n v="10054"/>
    <s v="Gamma Tech"/>
    <s v="Diego"/>
    <s v="Suporte TI"/>
    <x v="2"/>
    <s v="Nordeste"/>
    <s v="BA"/>
    <n v="7"/>
    <n v="650"/>
    <n v="0.08"/>
    <n v="4498"/>
    <n v="1750"/>
    <n v="2748"/>
    <n v="0.58193979933110362"/>
    <s v="Boleto"/>
  </r>
  <r>
    <d v="2026-01-27T00:00:00"/>
    <n v="1"/>
    <x v="0"/>
    <n v="10055"/>
    <s v="Londri Office"/>
    <s v="Ana"/>
    <s v="Smartphone X"/>
    <x v="4"/>
    <s v="Sudeste"/>
    <s v="MG"/>
    <n v="8"/>
    <n v="2600"/>
    <n v="0.1"/>
    <n v="20540"/>
    <n v="14400"/>
    <n v="6140"/>
    <n v="0.23076923076923081"/>
    <s v="Cartão"/>
  </r>
  <r>
    <d v="2026-02-11T00:00:00"/>
    <n v="2"/>
    <x v="1"/>
    <n v="10056"/>
    <s v="Prime Corp"/>
    <s v="Bruno"/>
    <s v="TV 50"/>
    <x v="4"/>
    <s v="Sul"/>
    <s v="SC"/>
    <n v="2"/>
    <n v="3200"/>
    <n v="0"/>
    <n v="6400"/>
    <n v="4500"/>
    <n v="1900"/>
    <n v="0.296875"/>
    <s v="PIX"/>
  </r>
  <r>
    <d v="2026-03-14T00:00:00"/>
    <n v="3"/>
    <x v="2"/>
    <n v="10057"/>
    <s v="Prime Corp"/>
    <s v="Diego"/>
    <s v="TV 50"/>
    <x v="4"/>
    <s v="Norte"/>
    <s v="PA"/>
    <n v="8"/>
    <n v="3200"/>
    <n v="0.05"/>
    <n v="25440"/>
    <n v="18000"/>
    <n v="7440"/>
    <n v="0.25986842105263158"/>
    <s v="PIX"/>
  </r>
  <r>
    <d v="2026-04-16T00:00:00"/>
    <n v="4"/>
    <x v="3"/>
    <n v="10058"/>
    <s v="Prime Corp"/>
    <s v="Fernanda"/>
    <s v="Notebook Pro"/>
    <x v="0"/>
    <s v="Nordeste"/>
    <s v="PE"/>
    <n v="6"/>
    <n v="4200"/>
    <n v="0.02"/>
    <n v="25116"/>
    <n v="18000"/>
    <n v="7116"/>
    <n v="0.27113702623906699"/>
    <s v="Cartão"/>
  </r>
  <r>
    <d v="2026-05-08T00:00:00"/>
    <n v="5"/>
    <x v="4"/>
    <n v="10059"/>
    <s v="Nova Era"/>
    <s v="Diego"/>
    <s v="Smartphone X"/>
    <x v="4"/>
    <s v="Sul"/>
    <s v="PR"/>
    <n v="7"/>
    <n v="2600"/>
    <n v="0.05"/>
    <n v="18070"/>
    <n v="12600"/>
    <n v="5470"/>
    <n v="0.27125506072874489"/>
    <s v="Transferência"/>
  </r>
  <r>
    <d v="2026-06-20T00:00:00"/>
    <n v="6"/>
    <x v="5"/>
    <n v="10060"/>
    <s v="Alfa Ltda"/>
    <s v="Ana"/>
    <s v="Suporte TI"/>
    <x v="2"/>
    <s v="Centro-Oeste"/>
    <s v="GO"/>
    <n v="1"/>
    <n v="650"/>
    <n v="0.05"/>
    <n v="617.5"/>
    <n v="250"/>
    <n v="367.5"/>
    <n v="0.59514170040485825"/>
    <s v="Cartão"/>
  </r>
  <r>
    <d v="2026-07-06T00:00:00"/>
    <n v="7"/>
    <x v="6"/>
    <n v="10061"/>
    <s v="Londri Office"/>
    <s v="Carla"/>
    <s v="Notebook Pro"/>
    <x v="0"/>
    <s v="Sudeste"/>
    <s v="MG"/>
    <n v="5"/>
    <n v="4200"/>
    <n v="0.05"/>
    <n v="20790"/>
    <n v="15000"/>
    <n v="5790"/>
    <n v="0.24812030075187971"/>
    <s v="Transferência"/>
  </r>
  <r>
    <d v="2026-08-25T00:00:00"/>
    <n v="8"/>
    <x v="7"/>
    <n v="10062"/>
    <s v="Paraná Digital"/>
    <s v="Ana"/>
    <s v="Mesa Office"/>
    <x v="1"/>
    <s v="Sudeste"/>
    <s v="RJ"/>
    <n v="5"/>
    <n v="1450"/>
    <n v="0"/>
    <n v="7250"/>
    <n v="4500"/>
    <n v="2750"/>
    <n v="0.37931034482758619"/>
    <s v="Cartão"/>
  </r>
  <r>
    <d v="2026-09-03T00:00:00"/>
    <n v="9"/>
    <x v="8"/>
    <n v="10063"/>
    <s v="Alfa Ltda"/>
    <s v="Fernanda"/>
    <s v="Notebook Pro"/>
    <x v="0"/>
    <s v="Sul"/>
    <s v="PR"/>
    <n v="1"/>
    <n v="4200"/>
    <n v="0"/>
    <n v="4200"/>
    <n v="3000"/>
    <n v="1200"/>
    <n v="0.2857142857142857"/>
    <s v="Cartão"/>
  </r>
  <r>
    <d v="2026-01-16T00:00:00"/>
    <n v="1"/>
    <x v="0"/>
    <n v="10064"/>
    <s v="Nova Era"/>
    <s v="Bruno"/>
    <s v="Monitor 24"/>
    <x v="0"/>
    <s v="Norte"/>
    <s v="PA"/>
    <n v="4"/>
    <n v="1150"/>
    <n v="0.05"/>
    <n v="4542.5"/>
    <n v="3040"/>
    <n v="1502.5"/>
    <n v="0.30434782608695649"/>
    <s v="PIX"/>
  </r>
  <r>
    <d v="2026-02-10T00:00:00"/>
    <n v="2"/>
    <x v="1"/>
    <n v="10065"/>
    <s v="Prime Corp"/>
    <s v="Diego"/>
    <s v="Monitor 24"/>
    <x v="0"/>
    <s v="Sul"/>
    <s v="RS"/>
    <n v="1"/>
    <n v="1150"/>
    <n v="0.02"/>
    <n v="1127"/>
    <n v="760"/>
    <n v="367"/>
    <n v="0.32564330079858028"/>
    <s v="PIX"/>
  </r>
  <r>
    <d v="2026-03-23T00:00:00"/>
    <n v="3"/>
    <x v="2"/>
    <n v="10066"/>
    <s v="Sulmax"/>
    <s v="Ana"/>
    <s v="Mouse Sem Fio"/>
    <x v="3"/>
    <s v="Norte"/>
    <s v="PA"/>
    <n v="2"/>
    <n v="180"/>
    <n v="0.1"/>
    <n v="342"/>
    <n v="190"/>
    <n v="152"/>
    <n v="0.41358024691358031"/>
    <s v="PIX"/>
  </r>
  <r>
    <d v="2026-04-18T00:00:00"/>
    <n v="4"/>
    <x v="3"/>
    <n v="10067"/>
    <s v="Nova Era"/>
    <s v="Ana"/>
    <s v="Mesa Office"/>
    <x v="1"/>
    <s v="Centro-Oeste"/>
    <s v="GO"/>
    <n v="6"/>
    <n v="1450"/>
    <n v="0"/>
    <n v="8700"/>
    <n v="5400"/>
    <n v="3300"/>
    <n v="0.37931034482758619"/>
    <s v="Transferência"/>
  </r>
  <r>
    <d v="2026-05-14T00:00:00"/>
    <n v="5"/>
    <x v="4"/>
    <n v="10068"/>
    <s v="Gamma Tech"/>
    <s v="Fernanda"/>
    <s v="TV 50"/>
    <x v="4"/>
    <s v="Sudeste"/>
    <s v="MG"/>
    <n v="8"/>
    <n v="3200"/>
    <n v="0.1"/>
    <n v="25280"/>
    <n v="18000"/>
    <n v="7280"/>
    <n v="0.21875"/>
    <s v="Transferência"/>
  </r>
  <r>
    <d v="2026-06-14T00:00:00"/>
    <n v="6"/>
    <x v="5"/>
    <n v="10069"/>
    <s v="Beta Comércio"/>
    <s v="Carla"/>
    <s v="Instalação"/>
    <x v="2"/>
    <s v="Nordeste"/>
    <s v="PE"/>
    <n v="5"/>
    <n v="350"/>
    <n v="0.02"/>
    <n v="1743"/>
    <n v="600"/>
    <n v="1143"/>
    <n v="0.65014577259475215"/>
    <s v="Cartão"/>
  </r>
  <r>
    <d v="2026-07-19T00:00:00"/>
    <n v="7"/>
    <x v="6"/>
    <n v="10070"/>
    <s v="Nova Era"/>
    <s v="Bruno"/>
    <s v="Instalação"/>
    <x v="2"/>
    <s v="Nordeste"/>
    <s v="PE"/>
    <n v="7"/>
    <n v="350"/>
    <n v="0.02"/>
    <n v="2443"/>
    <n v="840"/>
    <n v="1603"/>
    <n v="0.65014577259475215"/>
    <s v="Cartão"/>
  </r>
  <r>
    <d v="2026-08-26T00:00:00"/>
    <n v="8"/>
    <x v="7"/>
    <n v="10071"/>
    <s v="Omega Solutions"/>
    <s v="Fernanda"/>
    <s v="Smartphone X"/>
    <x v="4"/>
    <s v="Sul"/>
    <s v="PR"/>
    <n v="6"/>
    <n v="2600"/>
    <n v="0.02"/>
    <n v="15548"/>
    <n v="10800"/>
    <n v="4748"/>
    <n v="0.29356357927786503"/>
    <s v="Cartão"/>
  </r>
  <r>
    <d v="2026-09-08T00:00:00"/>
    <n v="9"/>
    <x v="8"/>
    <n v="10072"/>
    <s v="Londri Office"/>
    <s v="Diego"/>
    <s v="Mesa Office"/>
    <x v="1"/>
    <s v="Nordeste"/>
    <s v="BA"/>
    <n v="8"/>
    <n v="1450"/>
    <n v="0.08"/>
    <n v="11484"/>
    <n v="7200"/>
    <n v="4284"/>
    <n v="0.32533733133433279"/>
    <s v="PIX"/>
  </r>
  <r>
    <d v="2026-01-10T00:00:00"/>
    <n v="1"/>
    <x v="0"/>
    <n v="10073"/>
    <s v="Sulmax"/>
    <s v="Carla"/>
    <s v="Mouse Sem Fio"/>
    <x v="3"/>
    <s v="Nordeste"/>
    <s v="PE"/>
    <n v="7"/>
    <n v="180"/>
    <n v="0.1"/>
    <n v="1242"/>
    <n v="665"/>
    <n v="577"/>
    <n v="0.41358024691358031"/>
    <s v="Boleto"/>
  </r>
  <r>
    <d v="2026-02-24T00:00:00"/>
    <n v="2"/>
    <x v="1"/>
    <n v="10074"/>
    <s v="Omega Solutions"/>
    <s v="Carla"/>
    <s v="Suporte TI"/>
    <x v="2"/>
    <s v="Sudeste"/>
    <s v="SP"/>
    <n v="6"/>
    <n v="650"/>
    <n v="0.02"/>
    <n v="3887"/>
    <n v="1500"/>
    <n v="2387"/>
    <n v="0.60753532182103609"/>
    <s v="Cartão"/>
  </r>
  <r>
    <d v="2026-03-24T00:00:00"/>
    <n v="3"/>
    <x v="2"/>
    <n v="10075"/>
    <s v="Gamma Tech"/>
    <s v="Bruno"/>
    <s v="Mouse Sem Fio"/>
    <x v="3"/>
    <s v="Sul"/>
    <s v="SC"/>
    <n v="6"/>
    <n v="180"/>
    <n v="0"/>
    <n v="1080"/>
    <n v="570"/>
    <n v="510"/>
    <n v="0.47222222222222221"/>
    <s v="Transferência"/>
  </r>
  <r>
    <d v="2026-04-24T00:00:00"/>
    <n v="4"/>
    <x v="3"/>
    <n v="10076"/>
    <s v="Omega Solutions"/>
    <s v="Bruno"/>
    <s v="Instalação"/>
    <x v="2"/>
    <s v="Sudeste"/>
    <s v="MG"/>
    <n v="5"/>
    <n v="350"/>
    <n v="0"/>
    <n v="1750"/>
    <n v="600"/>
    <n v="1150"/>
    <n v="0.65714285714285714"/>
    <s v="Cartão"/>
  </r>
  <r>
    <d v="2026-05-01T00:00:00"/>
    <n v="5"/>
    <x v="4"/>
    <n v="10077"/>
    <s v="Alfa Ltda"/>
    <s v="Fernanda"/>
    <s v="Suporte TI"/>
    <x v="2"/>
    <s v="Sudeste"/>
    <s v="RJ"/>
    <n v="3"/>
    <n v="650"/>
    <n v="0.02"/>
    <n v="1937"/>
    <n v="750"/>
    <n v="1187"/>
    <n v="0.60753532182103609"/>
    <s v="Cartão"/>
  </r>
  <r>
    <d v="2026-06-28T00:00:00"/>
    <n v="6"/>
    <x v="5"/>
    <n v="10078"/>
    <s v="Londri Office"/>
    <s v="Diego"/>
    <s v="Cadeira Ergo"/>
    <x v="1"/>
    <s v="Nordeste"/>
    <s v="BA"/>
    <n v="2"/>
    <n v="1250"/>
    <n v="0"/>
    <n v="2500"/>
    <n v="1560"/>
    <n v="940"/>
    <n v="0.376"/>
    <s v="Boleto"/>
  </r>
  <r>
    <d v="2026-07-02T00:00:00"/>
    <n v="7"/>
    <x v="6"/>
    <n v="10079"/>
    <s v="Prime Corp"/>
    <s v="Diego"/>
    <s v="Smartphone X"/>
    <x v="4"/>
    <s v="Sudeste"/>
    <s v="SP"/>
    <n v="8"/>
    <n v="2600"/>
    <n v="0"/>
    <n v="20800"/>
    <n v="14400"/>
    <n v="6400"/>
    <n v="0.30769230769230771"/>
    <s v="PIX"/>
  </r>
  <r>
    <d v="2026-08-05T00:00:00"/>
    <n v="8"/>
    <x v="7"/>
    <n v="10080"/>
    <s v="Beta Comércio"/>
    <s v="Fernanda"/>
    <s v="Instalação"/>
    <x v="2"/>
    <s v="Centro-Oeste"/>
    <s v="GO"/>
    <n v="5"/>
    <n v="350"/>
    <n v="0"/>
    <n v="1750"/>
    <n v="600"/>
    <n v="1150"/>
    <n v="0"/>
    <s v="Cartão"/>
  </r>
  <r>
    <d v="2026-09-15T00:00:00"/>
    <n v="9"/>
    <x v="8"/>
    <n v="10081"/>
    <s v="Omega Solutions"/>
    <s v="Fernanda"/>
    <s v="Cadeira Ergo"/>
    <x v="1"/>
    <s v="Norte"/>
    <s v="PA"/>
    <n v="5"/>
    <n v="1250"/>
    <n v="0.08"/>
    <n v="6150"/>
    <n v="3900"/>
    <n v="2250"/>
    <n v="0"/>
    <s v="PIX"/>
  </r>
  <r>
    <d v="2026-01-25T00:00:00"/>
    <n v="1"/>
    <x v="0"/>
    <n v="10082"/>
    <s v="Gamma Tech"/>
    <s v="Bruno"/>
    <s v="Mouse Sem Fio"/>
    <x v="3"/>
    <s v="Sul"/>
    <s v="PR"/>
    <n v="4"/>
    <n v="180"/>
    <n v="0.02"/>
    <n v="716.4"/>
    <n v="380"/>
    <n v="336.4"/>
    <n v="0.46145124716553287"/>
    <s v="PIX"/>
  </r>
  <r>
    <d v="2026-02-01T00:00:00"/>
    <n v="2"/>
    <x v="1"/>
    <n v="10083"/>
    <s v="Omega Solutions"/>
    <s v="Ana"/>
    <s v="Mesa Office"/>
    <x v="1"/>
    <s v="Sul"/>
    <s v="RS"/>
    <n v="8"/>
    <n v="1450"/>
    <n v="0.1"/>
    <n v="11455"/>
    <n v="7200"/>
    <n v="4255"/>
    <n v="0.31034482758620691"/>
    <s v="Boleto"/>
  </r>
  <r>
    <d v="2026-03-10T00:00:00"/>
    <n v="3"/>
    <x v="2"/>
    <n v="10084"/>
    <s v="Omega Solutions"/>
    <s v="Fernanda"/>
    <s v="Cadeira Ergo"/>
    <x v="1"/>
    <s v="Sul"/>
    <s v="PR"/>
    <n v="2"/>
    <n v="1250"/>
    <n v="0.1"/>
    <n v="2375"/>
    <n v="1560"/>
    <n v="815"/>
    <n v="0.30666666666666659"/>
    <s v="Transferência"/>
  </r>
  <r>
    <d v="2026-04-18T00:00:00"/>
    <n v="4"/>
    <x v="3"/>
    <n v="10085"/>
    <s v="Beta Comércio"/>
    <s v="Ana"/>
    <s v="Mouse Sem Fio"/>
    <x v="3"/>
    <s v="Sul"/>
    <s v="RS"/>
    <n v="3"/>
    <n v="180"/>
    <n v="0.02"/>
    <n v="536.4"/>
    <n v="285"/>
    <n v="251.39999999999998"/>
    <n v="0.46145124716553287"/>
    <s v="Boleto"/>
  </r>
  <r>
    <d v="2026-05-24T00:00:00"/>
    <n v="5"/>
    <x v="4"/>
    <n v="10086"/>
    <s v="Omega Solutions"/>
    <s v="Diego"/>
    <s v="Instalação"/>
    <x v="2"/>
    <s v="Sudeste"/>
    <s v="MG"/>
    <n v="5"/>
    <n v="350"/>
    <n v="0.05"/>
    <n v="1732.5"/>
    <n v="600"/>
    <n v="1132.5"/>
    <n v="0.63909774436090228"/>
    <s v="Transferência"/>
  </r>
  <r>
    <d v="2026-06-03T00:00:00"/>
    <n v="6"/>
    <x v="5"/>
    <n v="10087"/>
    <s v="Sulmax"/>
    <s v="Carla"/>
    <s v="Instalação"/>
    <x v="2"/>
    <s v="Sul"/>
    <s v="PR"/>
    <n v="1"/>
    <n v="350"/>
    <n v="0.05"/>
    <n v="332.5"/>
    <n v="120"/>
    <n v="212.5"/>
    <n v="0.63909774436090228"/>
    <s v="PIX"/>
  </r>
  <r>
    <d v="2026-07-22T00:00:00"/>
    <n v="7"/>
    <x v="6"/>
    <n v="10088"/>
    <s v="Sulmax"/>
    <s v="Ana"/>
    <s v="Instalação"/>
    <x v="2"/>
    <s v="Sul"/>
    <s v="RS"/>
    <n v="1"/>
    <n v="350"/>
    <n v="0.1"/>
    <n v="315"/>
    <n v="120"/>
    <n v="195"/>
    <n v="0.61904761904761907"/>
    <s v="Transferência"/>
  </r>
  <r>
    <d v="2026-08-21T00:00:00"/>
    <n v="8"/>
    <x v="7"/>
    <n v="10089"/>
    <s v="Prime Corp"/>
    <s v="Diego"/>
    <s v="Cadeira Ergo"/>
    <x v="1"/>
    <s v="Sudeste"/>
    <s v="MG"/>
    <n v="5"/>
    <n v="1250"/>
    <n v="0"/>
    <n v="6250"/>
    <n v="3900"/>
    <n v="2350"/>
    <n v="0"/>
    <s v="Transferência"/>
  </r>
  <r>
    <d v="2026-09-14T00:00:00"/>
    <n v="9"/>
    <x v="8"/>
    <n v="10090"/>
    <s v="Gamma Tech"/>
    <s v="Carla"/>
    <s v="TV 50"/>
    <x v="4"/>
    <s v="Centro-Oeste"/>
    <s v="GO"/>
    <n v="6"/>
    <n v="3200"/>
    <n v="0.1"/>
    <n v="18880"/>
    <n v="13500"/>
    <n v="5380"/>
    <n v="0.21875"/>
    <s v="Transferência"/>
  </r>
  <r>
    <d v="2026-01-22T00:00:00"/>
    <n v="1"/>
    <x v="0"/>
    <n v="10091"/>
    <s v="Omega Solutions"/>
    <s v="Carla"/>
    <s v="Mesa Office"/>
    <x v="1"/>
    <s v="Sudeste"/>
    <s v="RJ"/>
    <n v="1"/>
    <n v="1450"/>
    <n v="0.05"/>
    <n v="1377.5"/>
    <n v="900"/>
    <n v="477.5"/>
    <n v="0.34664246823956441"/>
    <s v="Transferência"/>
  </r>
  <r>
    <d v="2026-02-27T00:00:00"/>
    <n v="2"/>
    <x v="1"/>
    <n v="10092"/>
    <s v="Paraná Digital"/>
    <s v="Carla"/>
    <s v="Notebook Pro"/>
    <x v="0"/>
    <s v="Norte"/>
    <s v="PA"/>
    <n v="8"/>
    <n v="4200"/>
    <n v="0.05"/>
    <n v="33390"/>
    <n v="24000"/>
    <n v="9390"/>
    <n v="0.24812030075187971"/>
    <s v="Transferência"/>
  </r>
  <r>
    <d v="2026-03-25T00:00:00"/>
    <n v="3"/>
    <x v="2"/>
    <n v="10093"/>
    <s v="Omega Solutions"/>
    <s v="Diego"/>
    <s v="Notebook Pro"/>
    <x v="0"/>
    <s v="Nordeste"/>
    <s v="BA"/>
    <n v="4"/>
    <n v="4200"/>
    <n v="0.02"/>
    <n v="16716"/>
    <n v="12000"/>
    <n v="4716"/>
    <n v="0.27113702623906699"/>
    <s v="PIX"/>
  </r>
  <r>
    <d v="2026-04-21T00:00:00"/>
    <n v="4"/>
    <x v="3"/>
    <n v="10094"/>
    <s v="Paraná Digital"/>
    <s v="Ana"/>
    <s v="Instalação"/>
    <x v="2"/>
    <s v="Nordeste"/>
    <s v="BA"/>
    <n v="4"/>
    <n v="350"/>
    <n v="0.1"/>
    <n v="1365"/>
    <n v="480"/>
    <n v="885"/>
    <n v="0.61904761904761907"/>
    <s v="Transferência"/>
  </r>
  <r>
    <d v="2026-05-08T00:00:00"/>
    <n v="5"/>
    <x v="4"/>
    <n v="10095"/>
    <s v="Gamma Tech"/>
    <s v="Diego"/>
    <s v="Monitor 24"/>
    <x v="0"/>
    <s v="Sudeste"/>
    <s v="MG"/>
    <n v="8"/>
    <n v="1150"/>
    <n v="0"/>
    <n v="9200"/>
    <n v="6080"/>
    <n v="3120"/>
    <n v="0.33913043478260868"/>
    <s v="Boleto"/>
  </r>
  <r>
    <d v="2026-06-27T00:00:00"/>
    <n v="6"/>
    <x v="5"/>
    <n v="10096"/>
    <s v="Gamma Tech"/>
    <s v="Diego"/>
    <s v="Cadeira Ergo"/>
    <x v="1"/>
    <s v="Sul"/>
    <s v="PR"/>
    <n v="8"/>
    <n v="1250"/>
    <n v="0"/>
    <n v="10000"/>
    <n v="6240"/>
    <n v="3760"/>
    <n v="0.376"/>
    <s v="Cartão"/>
  </r>
  <r>
    <d v="2026-07-09T00:00:00"/>
    <n v="7"/>
    <x v="6"/>
    <n v="10097"/>
    <s v="Alfa Ltda"/>
    <s v="Carla"/>
    <s v="Mesa Office"/>
    <x v="1"/>
    <s v="Sudeste"/>
    <s v="SP"/>
    <n v="6"/>
    <n v="1450"/>
    <n v="0.08"/>
    <n v="8584"/>
    <n v="5400"/>
    <n v="3184"/>
    <n v="0.32533733133433279"/>
    <s v="Transferência"/>
  </r>
  <r>
    <d v="2026-08-15T00:00:00"/>
    <n v="8"/>
    <x v="7"/>
    <n v="10098"/>
    <s v="Paraná Digital"/>
    <s v="Diego"/>
    <s v="Suporte TI"/>
    <x v="2"/>
    <s v="Nordeste"/>
    <s v="BA"/>
    <n v="8"/>
    <n v="650"/>
    <n v="0.02"/>
    <n v="5187"/>
    <n v="2000"/>
    <n v="3187"/>
    <n v="0.60753532182103609"/>
    <s v="Boleto"/>
  </r>
  <r>
    <d v="2026-09-23T00:00:00"/>
    <n v="9"/>
    <x v="8"/>
    <n v="10099"/>
    <s v="Prime Corp"/>
    <s v="Ana"/>
    <s v="Mouse Sem Fio"/>
    <x v="3"/>
    <s v="Sudeste"/>
    <s v="RJ"/>
    <n v="7"/>
    <n v="180"/>
    <n v="0"/>
    <n v="1260"/>
    <n v="665"/>
    <n v="595"/>
    <n v="0.47222222222222221"/>
    <s v="Transferência"/>
  </r>
  <r>
    <d v="2026-01-26T00:00:00"/>
    <n v="1"/>
    <x v="0"/>
    <n v="10100"/>
    <s v="Gamma Tech"/>
    <s v="Diego"/>
    <s v="Mesa Office"/>
    <x v="1"/>
    <s v="Sul"/>
    <s v="RS"/>
    <n v="7"/>
    <n v="1450"/>
    <n v="0.1"/>
    <n v="10005"/>
    <n v="6300"/>
    <n v="3705"/>
    <n v="0.31034482758620691"/>
    <s v="Cartão"/>
  </r>
  <r>
    <d v="2026-02-19T00:00:00"/>
    <n v="2"/>
    <x v="1"/>
    <n v="10101"/>
    <s v="Londri Office"/>
    <s v="Ana"/>
    <s v="TV 50"/>
    <x v="4"/>
    <s v="Sul"/>
    <s v="RS"/>
    <n v="2"/>
    <n v="3200"/>
    <n v="0.05"/>
    <n v="6240"/>
    <n v="4500"/>
    <n v="1740"/>
    <n v="0.25986842105263158"/>
    <s v="Transferência"/>
  </r>
  <r>
    <d v="2026-03-05T00:00:00"/>
    <n v="3"/>
    <x v="2"/>
    <n v="10102"/>
    <s v="Prime Corp"/>
    <s v="Ana"/>
    <s v="Monitor 24"/>
    <x v="0"/>
    <s v="Sudeste"/>
    <s v="MG"/>
    <n v="8"/>
    <n v="1150"/>
    <n v="0.02"/>
    <n v="9177"/>
    <n v="6080"/>
    <n v="3097"/>
    <n v="0.32564330079858028"/>
    <s v="Transferência"/>
  </r>
  <r>
    <d v="2026-04-21T00:00:00"/>
    <n v="4"/>
    <x v="3"/>
    <n v="10103"/>
    <s v="Omega Solutions"/>
    <s v="Bruno"/>
    <s v="Cadeira Ergo"/>
    <x v="1"/>
    <s v="Sudeste"/>
    <s v="SP"/>
    <n v="1"/>
    <n v="1250"/>
    <n v="0.08"/>
    <n v="1150"/>
    <n v="780"/>
    <n v="370"/>
    <n v="0.32173913043478258"/>
    <s v="Transferência"/>
  </r>
  <r>
    <d v="2026-05-25T00:00:00"/>
    <n v="5"/>
    <x v="4"/>
    <n v="10104"/>
    <s v="Alfa Ltda"/>
    <s v="Ana"/>
    <s v="Monitor 24"/>
    <x v="0"/>
    <s v="Sudeste"/>
    <s v="MG"/>
    <n v="8"/>
    <n v="1150"/>
    <n v="0"/>
    <n v="9200"/>
    <n v="6080"/>
    <n v="3120"/>
    <n v="0.33913043478260868"/>
    <s v="PIX"/>
  </r>
  <r>
    <d v="2026-06-12T00:00:00"/>
    <n v="6"/>
    <x v="5"/>
    <n v="10105"/>
    <s v="Prime Corp"/>
    <s v="Fernanda"/>
    <s v="TV 50"/>
    <x v="4"/>
    <s v="Sul"/>
    <s v="PR"/>
    <n v="7"/>
    <n v="3200"/>
    <n v="0"/>
    <n v="22400"/>
    <n v="15750"/>
    <n v="6650"/>
    <n v="0.296875"/>
    <s v="Cartão"/>
  </r>
  <r>
    <d v="2026-07-03T00:00:00"/>
    <n v="7"/>
    <x v="6"/>
    <n v="10106"/>
    <s v="Londri Office"/>
    <s v="Fernanda"/>
    <s v="Instalação"/>
    <x v="2"/>
    <s v="Sul"/>
    <s v="SC"/>
    <n v="7"/>
    <n v="350"/>
    <n v="0.08"/>
    <n v="2422"/>
    <n v="840"/>
    <n v="1582"/>
    <n v="0.62732919254658381"/>
    <s v="Cartão"/>
  </r>
  <r>
    <d v="2026-08-21T00:00:00"/>
    <n v="8"/>
    <x v="7"/>
    <n v="10107"/>
    <s v="Londri Office"/>
    <s v="Carla"/>
    <s v="Smartphone X"/>
    <x v="4"/>
    <s v="Nordeste"/>
    <s v="BA"/>
    <n v="8"/>
    <n v="2600"/>
    <n v="0.02"/>
    <n v="20748"/>
    <n v="14400"/>
    <n v="6348"/>
    <n v="0.29356357927786503"/>
    <s v="Cartão"/>
  </r>
  <r>
    <d v="2026-09-15T00:00:00"/>
    <n v="9"/>
    <x v="8"/>
    <n v="10108"/>
    <s v="Omega Solutions"/>
    <s v="Diego"/>
    <s v="TV 50"/>
    <x v="4"/>
    <s v="Sudeste"/>
    <s v="MG"/>
    <n v="5"/>
    <n v="3200"/>
    <n v="0.1"/>
    <n v="15680"/>
    <n v="11250"/>
    <n v="4430"/>
    <n v="0"/>
    <s v="Cartão"/>
  </r>
  <r>
    <d v="2026-01-28T00:00:00"/>
    <n v="1"/>
    <x v="0"/>
    <n v="10109"/>
    <s v="Nova Era"/>
    <s v="Fernanda"/>
    <s v="Cadeira Ergo"/>
    <x v="1"/>
    <s v="Sudeste"/>
    <s v="SP"/>
    <n v="2"/>
    <n v="1250"/>
    <n v="0"/>
    <n v="2500"/>
    <n v="1560"/>
    <n v="940"/>
    <n v="0.376"/>
    <s v="Boleto"/>
  </r>
  <r>
    <d v="2026-02-27T00:00:00"/>
    <n v="2"/>
    <x v="1"/>
    <n v="10110"/>
    <s v="Alfa Ltda"/>
    <s v="Fernanda"/>
    <s v="Mesa Office"/>
    <x v="1"/>
    <s v="Nordeste"/>
    <s v="BA"/>
    <n v="5"/>
    <n v="1450"/>
    <n v="0"/>
    <n v="7250"/>
    <n v="4500"/>
    <n v="2750"/>
    <n v="0.37931034482758619"/>
    <s v="Boleto"/>
  </r>
  <r>
    <d v="2026-03-20T00:00:00"/>
    <n v="3"/>
    <x v="2"/>
    <n v="10111"/>
    <s v="Omega Solutions"/>
    <s v="Bruno"/>
    <s v="TV 50"/>
    <x v="4"/>
    <s v="Sudeste"/>
    <s v="MG"/>
    <n v="4"/>
    <n v="3200"/>
    <n v="0.1"/>
    <n v="12480"/>
    <n v="9000"/>
    <n v="3480"/>
    <n v="0.21875"/>
    <s v="PIX"/>
  </r>
  <r>
    <d v="2026-04-26T00:00:00"/>
    <n v="4"/>
    <x v="3"/>
    <n v="10112"/>
    <s v="Gamma Tech"/>
    <s v="Ana"/>
    <s v="Cadeira Ergo"/>
    <x v="1"/>
    <s v="Sudeste"/>
    <s v="RJ"/>
    <n v="1"/>
    <n v="1250"/>
    <n v="0.08"/>
    <n v="1150"/>
    <n v="780"/>
    <n v="370"/>
    <n v="0.32173913043478258"/>
    <s v="Boleto"/>
  </r>
  <r>
    <d v="2026-05-14T00:00:00"/>
    <n v="5"/>
    <x v="4"/>
    <n v="10113"/>
    <s v="Nova Era"/>
    <s v="Fernanda"/>
    <s v="Teclado Mecânico"/>
    <x v="3"/>
    <s v="Nordeste"/>
    <s v="BA"/>
    <n v="4"/>
    <n v="420"/>
    <n v="0"/>
    <n v="1680"/>
    <n v="1000"/>
    <n v="680"/>
    <n v="0.40476190476190482"/>
    <s v="Boleto"/>
  </r>
  <r>
    <d v="2026-06-09T00:00:00"/>
    <n v="6"/>
    <x v="5"/>
    <n v="10114"/>
    <s v="Beta Comércio"/>
    <s v="Diego"/>
    <s v="Cadeira Ergo"/>
    <x v="1"/>
    <s v="Sudeste"/>
    <s v="SP"/>
    <n v="5"/>
    <n v="1250"/>
    <n v="0.1"/>
    <n v="6125"/>
    <n v="3900"/>
    <n v="2225"/>
    <n v="0.30666666666666659"/>
    <s v="Cartão"/>
  </r>
  <r>
    <d v="2026-07-28T00:00:00"/>
    <n v="7"/>
    <x v="6"/>
    <n v="10115"/>
    <s v="Alfa Ltda"/>
    <s v="Carla"/>
    <s v="Mesa Office"/>
    <x v="1"/>
    <s v="Nordeste"/>
    <s v="PE"/>
    <n v="6"/>
    <n v="1450"/>
    <n v="0"/>
    <n v="8700"/>
    <n v="5400"/>
    <n v="3300"/>
    <n v="0.37931034482758619"/>
    <s v="PIX"/>
  </r>
  <r>
    <d v="2026-08-12T00:00:00"/>
    <n v="8"/>
    <x v="7"/>
    <n v="10116"/>
    <s v="Beta Comércio"/>
    <s v="Bruno"/>
    <s v="Smartphone X"/>
    <x v="4"/>
    <s v="Nordeste"/>
    <s v="PE"/>
    <n v="7"/>
    <n v="2600"/>
    <n v="0.1"/>
    <n v="17940"/>
    <n v="12600"/>
    <n v="5340"/>
    <n v="0.23076923076923081"/>
    <s v="PIX"/>
  </r>
  <r>
    <d v="2026-09-20T00:00:00"/>
    <n v="9"/>
    <x v="8"/>
    <n v="10117"/>
    <s v="Omega Solutions"/>
    <s v="Diego"/>
    <s v="Mouse Sem Fio"/>
    <x v="3"/>
    <s v="Sudeste"/>
    <s v="SP"/>
    <n v="2"/>
    <n v="180"/>
    <n v="0.1"/>
    <n v="342"/>
    <n v="190"/>
    <n v="152"/>
    <n v="0.41358024691358031"/>
    <s v="Cartão"/>
  </r>
  <r>
    <d v="2026-01-02T00:00:00"/>
    <n v="1"/>
    <x v="0"/>
    <n v="10118"/>
    <s v="Paraná Digital"/>
    <s v="Bruno"/>
    <s v="Smartphone X"/>
    <x v="4"/>
    <s v="Centro-Oeste"/>
    <s v="GO"/>
    <n v="8"/>
    <n v="2600"/>
    <n v="0"/>
    <n v="20800"/>
    <n v="14400"/>
    <n v="6400"/>
    <n v="0.30769230769230771"/>
    <s v="Transferência"/>
  </r>
  <r>
    <d v="2026-02-22T00:00:00"/>
    <n v="2"/>
    <x v="1"/>
    <n v="10119"/>
    <s v="Gamma Tech"/>
    <s v="Diego"/>
    <s v="Suporte TI"/>
    <x v="2"/>
    <s v="Sudeste"/>
    <s v="RJ"/>
    <n v="7"/>
    <n v="650"/>
    <n v="0.08"/>
    <n v="4498"/>
    <n v="1750"/>
    <n v="2748"/>
    <n v="0.58193979933110362"/>
    <s v="Transferência"/>
  </r>
  <r>
    <d v="2026-03-14T00:00:00"/>
    <n v="3"/>
    <x v="2"/>
    <n v="10120"/>
    <s v="Londri Office"/>
    <s v="Diego"/>
    <s v="Smartphone X"/>
    <x v="4"/>
    <s v="Sul"/>
    <s v="PR"/>
    <n v="1"/>
    <n v="2600"/>
    <n v="0.1"/>
    <n v="2340"/>
    <n v="1800"/>
    <n v="540"/>
    <n v="0.23076923076923081"/>
    <s v="Boleto"/>
  </r>
  <r>
    <d v="2026-04-22T00:00:00"/>
    <n v="4"/>
    <x v="3"/>
    <n v="10121"/>
    <s v="Delta Serviços"/>
    <s v="Ana"/>
    <s v="TV 50"/>
    <x v="4"/>
    <s v="Nordeste"/>
    <s v="BA"/>
    <n v="6"/>
    <n v="3200"/>
    <n v="0"/>
    <n v="19200"/>
    <n v="13500"/>
    <n v="5700"/>
    <n v="0.296875"/>
    <s v="PIX"/>
  </r>
  <r>
    <d v="2026-05-21T00:00:00"/>
    <n v="5"/>
    <x v="4"/>
    <n v="10122"/>
    <s v="Delta Serviços"/>
    <s v="Bruno"/>
    <s v="Instalação"/>
    <x v="2"/>
    <s v="Norte"/>
    <s v="PA"/>
    <n v="1"/>
    <n v="350"/>
    <n v="0"/>
    <n v="350"/>
    <n v="120"/>
    <n v="230"/>
    <n v="0.65714285714285714"/>
    <s v="Cartão"/>
  </r>
  <r>
    <d v="2026-06-27T00:00:00"/>
    <n v="6"/>
    <x v="5"/>
    <n v="10123"/>
    <s v="Delta Serviços"/>
    <s v="Carla"/>
    <s v="Suporte TI"/>
    <x v="2"/>
    <s v="Sul"/>
    <s v="SC"/>
    <n v="4"/>
    <n v="650"/>
    <n v="0.08"/>
    <n v="2548"/>
    <n v="1000"/>
    <n v="1548"/>
    <n v="0.58193979933110362"/>
    <s v="PIX"/>
  </r>
  <r>
    <d v="2026-07-28T00:00:00"/>
    <n v="7"/>
    <x v="6"/>
    <n v="10124"/>
    <s v="Gamma Tech"/>
    <s v="Ana"/>
    <s v="Teclado Mecânico"/>
    <x v="3"/>
    <s v="Sul"/>
    <s v="PR"/>
    <n v="3"/>
    <n v="420"/>
    <n v="0.08"/>
    <n v="1226.4000000000001"/>
    <n v="750"/>
    <n v="476.40000000000009"/>
    <n v="0.35300207039337478"/>
    <s v="Cartão"/>
  </r>
  <r>
    <d v="2026-08-12T00:00:00"/>
    <n v="8"/>
    <x v="7"/>
    <n v="10125"/>
    <s v="Alfa Ltda"/>
    <s v="Bruno"/>
    <s v="Mouse Sem Fio"/>
    <x v="3"/>
    <s v="Centro-Oeste"/>
    <s v="GO"/>
    <n v="6"/>
    <n v="180"/>
    <n v="0"/>
    <n v="1080"/>
    <n v="570"/>
    <n v="510"/>
    <n v="0.47222222222222221"/>
    <s v="PIX"/>
  </r>
  <r>
    <d v="2026-09-16T00:00:00"/>
    <n v="9"/>
    <x v="8"/>
    <n v="10126"/>
    <s v="Londri Office"/>
    <s v="Fernanda"/>
    <s v="Cadeira Ergo"/>
    <x v="1"/>
    <s v="Sul"/>
    <s v="RS"/>
    <n v="6"/>
    <n v="1250"/>
    <n v="0.08"/>
    <n v="7400"/>
    <n v="4680"/>
    <n v="2720"/>
    <n v="0.32173913043478258"/>
    <s v="PIX"/>
  </r>
  <r>
    <d v="2026-01-26T00:00:00"/>
    <n v="1"/>
    <x v="0"/>
    <n v="10127"/>
    <s v="Alfa Ltda"/>
    <s v="Ana"/>
    <s v="Suporte TI"/>
    <x v="2"/>
    <s v="Nordeste"/>
    <s v="PE"/>
    <n v="5"/>
    <n v="650"/>
    <n v="0.05"/>
    <n v="3217.5"/>
    <n v="1250"/>
    <n v="1967.5"/>
    <n v="0.59514170040485825"/>
    <s v="Transferência"/>
  </r>
  <r>
    <d v="2026-02-22T00:00:00"/>
    <n v="2"/>
    <x v="1"/>
    <n v="10128"/>
    <s v="Beta Comércio"/>
    <s v="Ana"/>
    <s v="Monitor 24"/>
    <x v="0"/>
    <s v="Sudeste"/>
    <s v="SP"/>
    <n v="8"/>
    <n v="1150"/>
    <n v="0.1"/>
    <n v="9085"/>
    <n v="6080"/>
    <n v="3005"/>
    <n v="0.26570048309178751"/>
    <s v="Cartão"/>
  </r>
  <r>
    <d v="2026-03-05T00:00:00"/>
    <n v="3"/>
    <x v="2"/>
    <n v="10129"/>
    <s v="Paraná Digital"/>
    <s v="Carla"/>
    <s v="Smartphone X"/>
    <x v="4"/>
    <s v="Nordeste"/>
    <s v="BA"/>
    <n v="6"/>
    <n v="2600"/>
    <n v="0.05"/>
    <n v="15470"/>
    <n v="10800"/>
    <n v="4670"/>
    <n v="0"/>
    <s v="Transferência"/>
  </r>
  <r>
    <d v="2026-04-26T00:00:00"/>
    <n v="4"/>
    <x v="3"/>
    <n v="10130"/>
    <s v="Delta Serviços"/>
    <s v="Diego"/>
    <s v="Monitor 24"/>
    <x v="0"/>
    <s v="Sudeste"/>
    <s v="MG"/>
    <n v="4"/>
    <n v="1150"/>
    <n v="0.05"/>
    <n v="4542.5"/>
    <n v="3040"/>
    <n v="1502.5"/>
    <n v="0.30434782608695649"/>
    <s v="Transferência"/>
  </r>
  <r>
    <d v="2026-05-14T00:00:00"/>
    <n v="5"/>
    <x v="4"/>
    <n v="10131"/>
    <s v="Omega Solutions"/>
    <s v="Carla"/>
    <s v="Monitor 24"/>
    <x v="0"/>
    <s v="Sul"/>
    <s v="PR"/>
    <n v="6"/>
    <n v="1150"/>
    <n v="0.05"/>
    <n v="6842.5"/>
    <n v="4560"/>
    <n v="2282.5"/>
    <n v="0.30434782608695649"/>
    <s v="Transferência"/>
  </r>
  <r>
    <d v="2026-06-03T00:00:00"/>
    <n v="6"/>
    <x v="5"/>
    <n v="10132"/>
    <s v="Nova Era"/>
    <s v="Bruno"/>
    <s v="Monitor 24"/>
    <x v="0"/>
    <s v="Nordeste"/>
    <s v="PE"/>
    <n v="2"/>
    <n v="1150"/>
    <n v="0.05"/>
    <n v="2242.5"/>
    <n v="1520"/>
    <n v="722.5"/>
    <n v="0.30434782608695649"/>
    <s v="PIX"/>
  </r>
  <r>
    <d v="2026-07-22T00:00:00"/>
    <n v="7"/>
    <x v="6"/>
    <n v="10133"/>
    <s v="Prime Corp"/>
    <s v="Ana"/>
    <s v="Monitor 24"/>
    <x v="0"/>
    <s v="Sudeste"/>
    <s v="MG"/>
    <n v="7"/>
    <n v="1150"/>
    <n v="0.02"/>
    <n v="8027"/>
    <n v="5320"/>
    <n v="2707"/>
    <n v="0.32564330079858028"/>
    <s v="Boleto"/>
  </r>
  <r>
    <d v="2026-08-04T00:00:00"/>
    <n v="8"/>
    <x v="7"/>
    <n v="10134"/>
    <s v="Delta Serviços"/>
    <s v="Ana"/>
    <s v="Instalação"/>
    <x v="2"/>
    <s v="Sudeste"/>
    <s v="SP"/>
    <n v="4"/>
    <n v="350"/>
    <n v="0"/>
    <n v="1400"/>
    <n v="480"/>
    <n v="920"/>
    <n v="0.65714285714285714"/>
    <s v="Boleto"/>
  </r>
  <r>
    <d v="2026-09-25T00:00:00"/>
    <n v="9"/>
    <x v="8"/>
    <n v="10135"/>
    <s v="Sulmax"/>
    <s v="Fernanda"/>
    <s v="Smartphone X"/>
    <x v="4"/>
    <s v="Nordeste"/>
    <s v="PE"/>
    <n v="4"/>
    <n v="2600"/>
    <n v="0.05"/>
    <n v="10270"/>
    <n v="7200"/>
    <n v="3070"/>
    <n v="0.27125506072874489"/>
    <s v="PIX"/>
  </r>
  <r>
    <d v="2026-01-01T00:00:00"/>
    <n v="1"/>
    <x v="0"/>
    <n v="10136"/>
    <s v="Nova Era"/>
    <s v="Carla"/>
    <s v="Teclado Mecânico"/>
    <x v="3"/>
    <s v="Sul"/>
    <s v="PR"/>
    <n v="5"/>
    <n v="420"/>
    <n v="0.1"/>
    <n v="2058"/>
    <n v="1250"/>
    <n v="808"/>
    <n v="0.33862433862433861"/>
    <s v="Cartão"/>
  </r>
  <r>
    <d v="2026-02-19T00:00:00"/>
    <n v="2"/>
    <x v="1"/>
    <n v="10137"/>
    <s v="Alfa Ltda"/>
    <s v="Ana"/>
    <s v="Mesa Office"/>
    <x v="1"/>
    <s v="Nordeste"/>
    <s v="PE"/>
    <n v="2"/>
    <n v="1450"/>
    <n v="0"/>
    <n v="2900"/>
    <n v="1800"/>
    <n v="1100"/>
    <n v="0.37931034482758619"/>
    <s v="Cartão"/>
  </r>
  <r>
    <d v="2026-03-14T00:00:00"/>
    <n v="3"/>
    <x v="2"/>
    <n v="10138"/>
    <s v="Nova Era"/>
    <s v="Fernanda"/>
    <s v="Cadeira Ergo"/>
    <x v="1"/>
    <s v="Norte"/>
    <s v="PA"/>
    <n v="6"/>
    <n v="1250"/>
    <n v="0"/>
    <n v="7500"/>
    <n v="4680"/>
    <n v="2820"/>
    <n v="0.376"/>
    <s v="PIX"/>
  </r>
  <r>
    <d v="2026-04-05T00:00:00"/>
    <n v="4"/>
    <x v="3"/>
    <n v="10139"/>
    <s v="Londri Office"/>
    <s v="Diego"/>
    <s v="Teclado Mecânico"/>
    <x v="3"/>
    <s v="Nordeste"/>
    <s v="PE"/>
    <n v="1"/>
    <n v="420"/>
    <n v="0.1"/>
    <n v="378"/>
    <n v="250"/>
    <n v="128"/>
    <n v="0.33862433862433861"/>
    <s v="Transferência"/>
  </r>
  <r>
    <d v="2026-05-09T00:00:00"/>
    <n v="5"/>
    <x v="4"/>
    <n v="10140"/>
    <s v="Omega Solutions"/>
    <s v="Fernanda"/>
    <s v="Mouse Sem Fio"/>
    <x v="3"/>
    <s v="Nordeste"/>
    <s v="BA"/>
    <n v="2"/>
    <n v="180"/>
    <n v="0.02"/>
    <n v="356.4"/>
    <n v="190"/>
    <n v="166.39999999999998"/>
    <n v="0.46145124716553287"/>
    <s v="Boleto"/>
  </r>
  <r>
    <d v="2026-06-08T00:00:00"/>
    <n v="6"/>
    <x v="5"/>
    <n v="10141"/>
    <s v="Delta Serviços"/>
    <s v="Bruno"/>
    <s v="Mesa Office"/>
    <x v="1"/>
    <s v="Sudeste"/>
    <s v="MG"/>
    <n v="1"/>
    <n v="1450"/>
    <n v="0"/>
    <n v="1450"/>
    <n v="900"/>
    <n v="550"/>
    <n v="0.37931034482758619"/>
    <s v="Boleto"/>
  </r>
  <r>
    <d v="2026-07-04T00:00:00"/>
    <n v="7"/>
    <x v="6"/>
    <n v="10142"/>
    <s v="Gamma Tech"/>
    <s v="Diego"/>
    <s v="Notebook Pro"/>
    <x v="0"/>
    <s v="Nordeste"/>
    <s v="PE"/>
    <n v="8"/>
    <n v="4200"/>
    <n v="0.1"/>
    <n v="33180"/>
    <n v="24000"/>
    <n v="9180"/>
    <n v="0.20634920634920631"/>
    <s v="Cartão"/>
  </r>
  <r>
    <d v="2026-08-03T00:00:00"/>
    <n v="8"/>
    <x v="7"/>
    <n v="10143"/>
    <s v="Beta Comércio"/>
    <s v="Carla"/>
    <s v="Mesa Office"/>
    <x v="1"/>
    <s v="Norte"/>
    <s v="PA"/>
    <n v="1"/>
    <n v="1450"/>
    <n v="0.05"/>
    <n v="1377.5"/>
    <n v="900"/>
    <n v="477.5"/>
    <n v="0.34664246823956441"/>
    <s v="Transferência"/>
  </r>
  <r>
    <d v="2026-09-23T00:00:00"/>
    <n v="9"/>
    <x v="8"/>
    <n v="10144"/>
    <s v="Nova Era"/>
    <s v="Bruno"/>
    <s v="Mesa Office"/>
    <x v="1"/>
    <s v="Norte"/>
    <s v="PA"/>
    <n v="5"/>
    <n v="1450"/>
    <n v="0"/>
    <n v="7250"/>
    <n v="4500"/>
    <n v="2750"/>
    <n v="0.37931034482758619"/>
    <s v="Transferência"/>
  </r>
  <r>
    <d v="2026-01-03T00:00:00"/>
    <n v="1"/>
    <x v="0"/>
    <n v="10145"/>
    <s v="Prime Corp"/>
    <s v="Fernanda"/>
    <s v="Mesa Office"/>
    <x v="1"/>
    <s v="Sudeste"/>
    <s v="MG"/>
    <n v="2"/>
    <n v="1450"/>
    <n v="0"/>
    <n v="2900"/>
    <n v="1800"/>
    <n v="1100"/>
    <n v="0.37931034482758619"/>
    <s v="Transferência"/>
  </r>
  <r>
    <d v="2026-02-24T00:00:00"/>
    <n v="2"/>
    <x v="1"/>
    <n v="10146"/>
    <s v="Beta Comércio"/>
    <s v="Fernanda"/>
    <s v="TV 50"/>
    <x v="4"/>
    <s v="Sudeste"/>
    <s v="MG"/>
    <n v="4"/>
    <n v="3200"/>
    <n v="0.02"/>
    <n v="12736"/>
    <n v="9000"/>
    <n v="3736"/>
    <n v="0.28252551020408162"/>
    <s v="Cartão"/>
  </r>
  <r>
    <d v="2026-03-12T00:00:00"/>
    <n v="3"/>
    <x v="2"/>
    <n v="10147"/>
    <s v="Delta Serviços"/>
    <s v="Bruno"/>
    <s v="Teclado Mecânico"/>
    <x v="3"/>
    <s v="Norte"/>
    <s v="PA"/>
    <n v="4"/>
    <n v="420"/>
    <n v="0"/>
    <n v="1680"/>
    <n v="1000"/>
    <n v="680"/>
    <n v="0.40476190476190482"/>
    <s v="Cartão"/>
  </r>
  <r>
    <d v="2026-04-06T00:00:00"/>
    <n v="4"/>
    <x v="3"/>
    <n v="10148"/>
    <s v="Londri Office"/>
    <s v="Fernanda"/>
    <s v="Cadeira Ergo"/>
    <x v="1"/>
    <s v="Norte"/>
    <s v="PA"/>
    <n v="8"/>
    <n v="1250"/>
    <n v="0.08"/>
    <n v="9900"/>
    <n v="6240"/>
    <n v="3660"/>
    <n v="0.32173913043478258"/>
    <s v="Boleto"/>
  </r>
  <r>
    <d v="2026-05-05T00:00:00"/>
    <n v="5"/>
    <x v="4"/>
    <n v="10149"/>
    <s v="Omega Solutions"/>
    <s v="Carla"/>
    <s v="Cadeira Ergo"/>
    <x v="1"/>
    <s v="Norte"/>
    <s v="PA"/>
    <n v="2"/>
    <n v="1250"/>
    <n v="0.05"/>
    <n v="2437.5"/>
    <n v="1560"/>
    <n v="877.5"/>
    <n v="0.34315789473684211"/>
    <s v="PIX"/>
  </r>
  <r>
    <d v="2026-06-17T00:00:00"/>
    <n v="6"/>
    <x v="5"/>
    <n v="10150"/>
    <s v="Alfa Ltda"/>
    <s v="Carla"/>
    <s v="Monitor 24"/>
    <x v="0"/>
    <s v="Sudeste"/>
    <s v="RJ"/>
    <n v="5"/>
    <n v="1150"/>
    <n v="0.05"/>
    <n v="5692.5"/>
    <n v="3800"/>
    <n v="1892.5"/>
    <n v="0.30434782608695649"/>
    <s v="PI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A8AE-FD19-49A6-B1B9-D769F98BE214}" name="tbl_cat_fa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20:D26" firstHeaderRow="1" firstDataRow="1" firstDataCol="1"/>
  <pivotFields count="18">
    <pivotField numFmtId="14" showAll="0"/>
    <pivotField numFmtId="49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m="1" x="9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numFmtId="165" showAll="0"/>
    <pivotField dataField="1" numFmtId="164" showAll="0"/>
    <pivotField numFmtId="164" showAll="0"/>
    <pivotField numFmtId="164" showAll="0"/>
    <pivotField numFmtId="166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Faturamento" fld="13" baseField="0" baseItem="0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79EBA-C9E7-49A0-AF35-6351D4B7F1CB}" name="tbl_fat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3:G13" firstHeaderRow="0" firstDataRow="1" firstDataCol="1"/>
  <pivotFields count="18">
    <pivotField numFmtId="1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m="1"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dataField="1" numFmtId="164" showAll="0"/>
    <pivotField dataField="1" numFmtId="164" showAll="0"/>
    <pivotField dataField="1" numFmtId="164" showAll="0"/>
    <pivotField numFmtId="166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Faturamento" fld="13" baseField="0" baseItem="0" numFmtId="164"/>
    <dataField name="Soma de Custo" fld="14" baseField="0" baseItem="0" numFmtId="164"/>
    <dataField name="Soma de Lucro" fld="15" baseField="0" baseItem="0" numFmtId="164"/>
    <dataField name="Contagem de Pedido" fld="3" subtotal="count" baseField="2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5CBE2-C2F4-4D24-B12C-738128FD6D46}" name="tbl_cat_lucr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20:H26" firstHeaderRow="1" firstDataRow="1" firstDataCol="1"/>
  <pivotFields count="18">
    <pivotField numFmtId="14" showAll="0"/>
    <pivotField numFmtId="49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m="1" x="9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numFmtId="165" showAll="0"/>
    <pivotField numFmtId="164" showAll="0"/>
    <pivotField numFmtId="164" showAll="0"/>
    <pivotField dataField="1" numFmtId="164" showAll="0"/>
    <pivotField numFmtId="166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Lucro" fld="15" baseField="0" baseItem="0" numFmtId="164"/>
  </dataFields>
  <chartFormats count="1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Texto" xr10:uid="{9067F266-6931-4649-B6D6-8304DCAFCF98}" sourceName="Mês_Texto">
  <pivotTables>
    <pivotTable tabId="6" name="tbl_fat_total"/>
    <pivotTable tabId="6" name="tbl_cat_fat"/>
    <pivotTable tabId="6" name="tbl_cat_lucro"/>
  </pivotTables>
  <data>
    <tabular pivotCacheId="1109738719">
      <items count="10">
        <i x="0" s="1"/>
        <i x="1" s="1"/>
        <i x="2" s="1"/>
        <i x="3" s="1"/>
        <i x="4" s="1"/>
        <i x="5" s="1"/>
        <i x="6" s="1"/>
        <i x="7" s="1"/>
        <i x="8" s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nu_mes" xr10:uid="{C1A25F64-7CBF-4A72-B842-AF9DA566006B}" cache="SegmentaçãodeDados_Mês_Texto" caption="Mês" style="SlicerStyleOther2 2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AAD1-A5F4-4874-AA7D-6EB56279014A}">
  <dimension ref="A1"/>
  <sheetViews>
    <sheetView showGridLines="0" workbookViewId="0">
      <selection activeCell="I16" sqref="I16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7203-0CF4-4BA1-9DE4-6D0F716A8FBF}">
  <dimension ref="A1:R151"/>
  <sheetViews>
    <sheetView topLeftCell="C123" zoomScale="95" workbookViewId="0">
      <selection activeCell="I16" sqref="I16"/>
    </sheetView>
  </sheetViews>
  <sheetFormatPr defaultRowHeight="15"/>
  <cols>
    <col min="1" max="1" width="10.7109375" bestFit="1" customWidth="1"/>
    <col min="2" max="3" width="10.7109375" customWidth="1"/>
    <col min="4" max="4" width="11.85546875" bestFit="1" customWidth="1"/>
    <col min="5" max="5" width="16.140625" bestFit="1" customWidth="1"/>
    <col min="6" max="6" width="14.42578125" bestFit="1" customWidth="1"/>
    <col min="7" max="7" width="16.85546875" bestFit="1" customWidth="1"/>
    <col min="8" max="8" width="14" bestFit="1" customWidth="1"/>
    <col min="9" max="9" width="13.140625" bestFit="1" customWidth="1"/>
    <col min="10" max="10" width="11.42578125" style="4" bestFit="1" customWidth="1"/>
    <col min="11" max="11" width="11" style="4" bestFit="1" customWidth="1"/>
    <col min="12" max="12" width="15.85546875" bestFit="1" customWidth="1"/>
    <col min="13" max="13" width="15.85546875" style="4" bestFit="1" customWidth="1"/>
    <col min="14" max="14" width="17" bestFit="1" customWidth="1"/>
    <col min="15" max="15" width="12.28515625" bestFit="1" customWidth="1"/>
    <col min="16" max="16" width="12.42578125" bestFit="1" customWidth="1"/>
    <col min="17" max="17" width="15" bestFit="1" customWidth="1"/>
    <col min="18" max="18" width="15.5703125" bestFit="1" customWidth="1"/>
  </cols>
  <sheetData>
    <row r="1" spans="1:18" s="4" customFormat="1">
      <c r="A1" s="1" t="s">
        <v>0</v>
      </c>
      <c r="B1" s="7" t="s">
        <v>80</v>
      </c>
      <c r="C1" s="1" t="s">
        <v>81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62</v>
      </c>
      <c r="L1" s="1" t="s">
        <v>63</v>
      </c>
      <c r="M1" s="1" t="s">
        <v>8</v>
      </c>
      <c r="N1" s="1" t="s">
        <v>9</v>
      </c>
      <c r="O1" s="1" t="s">
        <v>10</v>
      </c>
      <c r="P1" s="1" t="s">
        <v>11</v>
      </c>
      <c r="Q1" s="7" t="s">
        <v>12</v>
      </c>
      <c r="R1" s="7" t="s">
        <v>64</v>
      </c>
    </row>
    <row r="2" spans="1:18">
      <c r="A2" s="2">
        <v>46024</v>
      </c>
      <c r="B2" s="14">
        <f t="shared" ref="B2:B66" si="0">MONTH(A2)</f>
        <v>1</v>
      </c>
      <c r="C2" s="15" t="str">
        <f>TEXT(DATE(2026, B2, 1), "MMM")</f>
        <v>jan</v>
      </c>
      <c r="D2">
        <v>10028</v>
      </c>
      <c r="E2" t="s">
        <v>20</v>
      </c>
      <c r="F2" t="s">
        <v>14</v>
      </c>
      <c r="G2" t="s">
        <v>22</v>
      </c>
      <c r="H2" t="s">
        <v>16</v>
      </c>
      <c r="I2" t="s">
        <v>23</v>
      </c>
      <c r="J2" s="4" t="s">
        <v>56</v>
      </c>
      <c r="K2" s="4">
        <v>8</v>
      </c>
      <c r="L2" s="3">
        <v>4200</v>
      </c>
      <c r="M2" s="5">
        <v>0.08</v>
      </c>
      <c r="N2" s="3">
        <f>(L2*K2)-(L2*M2)</f>
        <v>33264</v>
      </c>
      <c r="O2" s="3">
        <v>24000</v>
      </c>
      <c r="P2" s="3">
        <f>N2-O2</f>
        <v>9264</v>
      </c>
      <c r="Q2" s="6">
        <f t="shared" ref="Q2:Q33" si="1">(P2/N2)*100</f>
        <v>27.849927849927852</v>
      </c>
      <c r="R2" t="s">
        <v>19</v>
      </c>
    </row>
    <row r="3" spans="1:18">
      <c r="A3" s="2">
        <v>46036</v>
      </c>
      <c r="B3" s="14">
        <f t="shared" si="0"/>
        <v>1</v>
      </c>
      <c r="C3" s="15" t="str">
        <f>TEXT(DATE(2026, B3, 1), "MMM")</f>
        <v>jan</v>
      </c>
      <c r="D3">
        <v>10046</v>
      </c>
      <c r="E3" t="s">
        <v>61</v>
      </c>
      <c r="F3" t="s">
        <v>39</v>
      </c>
      <c r="G3" t="s">
        <v>15</v>
      </c>
      <c r="H3" t="s">
        <v>16</v>
      </c>
      <c r="I3" t="s">
        <v>36</v>
      </c>
      <c r="J3" s="4" t="s">
        <v>37</v>
      </c>
      <c r="K3" s="4">
        <v>6</v>
      </c>
      <c r="L3" s="3">
        <v>1150</v>
      </c>
      <c r="M3" s="5">
        <v>0.08</v>
      </c>
      <c r="N3" s="3">
        <f t="shared" ref="N3:N66" si="2">(L3*K3)-(L3*M3)</f>
        <v>6808</v>
      </c>
      <c r="O3" s="3">
        <v>4560</v>
      </c>
      <c r="P3" s="3">
        <f t="shared" ref="P3:P66" si="3">N3-O3</f>
        <v>2248</v>
      </c>
      <c r="Q3" s="6">
        <f t="shared" si="1"/>
        <v>33.019976498237369</v>
      </c>
      <c r="R3" t="s">
        <v>35</v>
      </c>
    </row>
    <row r="4" spans="1:18">
      <c r="A4" s="2">
        <v>46038</v>
      </c>
      <c r="B4" s="14">
        <f t="shared" si="0"/>
        <v>1</v>
      </c>
      <c r="C4" s="15" t="str">
        <f t="shared" ref="C4:C67" si="4">TEXT(DATE(2026, B4, 1), "MMM")</f>
        <v>jan</v>
      </c>
      <c r="D4">
        <v>10010</v>
      </c>
      <c r="E4" t="s">
        <v>13</v>
      </c>
      <c r="F4" t="s">
        <v>21</v>
      </c>
      <c r="G4" t="s">
        <v>43</v>
      </c>
      <c r="H4" t="s">
        <v>41</v>
      </c>
      <c r="I4" t="s">
        <v>36</v>
      </c>
      <c r="J4" s="4" t="s">
        <v>37</v>
      </c>
      <c r="K4" s="4">
        <v>8</v>
      </c>
      <c r="L4" s="3">
        <v>1450</v>
      </c>
      <c r="M4" s="5">
        <v>0</v>
      </c>
      <c r="N4" s="3">
        <f t="shared" si="2"/>
        <v>11600</v>
      </c>
      <c r="O4" s="3">
        <v>7200</v>
      </c>
      <c r="P4" s="3">
        <f t="shared" si="3"/>
        <v>4400</v>
      </c>
      <c r="Q4" s="6">
        <f t="shared" si="1"/>
        <v>37.931034482758619</v>
      </c>
      <c r="R4" t="s">
        <v>35</v>
      </c>
    </row>
    <row r="5" spans="1:18">
      <c r="A5" s="2">
        <v>46039</v>
      </c>
      <c r="B5" s="14">
        <f t="shared" si="0"/>
        <v>1</v>
      </c>
      <c r="C5" s="15" t="str">
        <f t="shared" si="4"/>
        <v>jan</v>
      </c>
      <c r="D5">
        <v>10019</v>
      </c>
      <c r="E5" t="s">
        <v>52</v>
      </c>
      <c r="F5" t="s">
        <v>27</v>
      </c>
      <c r="G5" t="s">
        <v>40</v>
      </c>
      <c r="H5" t="s">
        <v>41</v>
      </c>
      <c r="I5" t="s">
        <v>53</v>
      </c>
      <c r="J5" s="4" t="s">
        <v>54</v>
      </c>
      <c r="K5" s="4">
        <v>2</v>
      </c>
      <c r="L5" s="3">
        <v>1250</v>
      </c>
      <c r="M5" s="5">
        <v>0</v>
      </c>
      <c r="N5" s="3">
        <f t="shared" si="2"/>
        <v>2500</v>
      </c>
      <c r="O5" s="3">
        <v>1560</v>
      </c>
      <c r="P5" s="3">
        <f t="shared" si="3"/>
        <v>940</v>
      </c>
      <c r="Q5" s="6">
        <f t="shared" si="1"/>
        <v>37.6</v>
      </c>
      <c r="R5" t="s">
        <v>25</v>
      </c>
    </row>
    <row r="6" spans="1:18">
      <c r="A6" s="2">
        <v>46043</v>
      </c>
      <c r="B6" s="14">
        <f t="shared" si="0"/>
        <v>1</v>
      </c>
      <c r="C6" s="15" t="str">
        <f t="shared" si="4"/>
        <v>jan</v>
      </c>
      <c r="D6">
        <v>10001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s="4" t="s">
        <v>18</v>
      </c>
      <c r="K6" s="4">
        <v>1</v>
      </c>
      <c r="L6" s="3">
        <v>1150</v>
      </c>
      <c r="M6" s="5">
        <v>0.1</v>
      </c>
      <c r="N6" s="3">
        <f t="shared" si="2"/>
        <v>1035</v>
      </c>
      <c r="O6" s="3">
        <v>760</v>
      </c>
      <c r="P6" s="3">
        <f t="shared" si="3"/>
        <v>275</v>
      </c>
      <c r="Q6" s="6">
        <f t="shared" si="1"/>
        <v>26.570048309178745</v>
      </c>
      <c r="R6" t="s">
        <v>19</v>
      </c>
    </row>
    <row r="7" spans="1:18">
      <c r="A7" s="2">
        <v>46045</v>
      </c>
      <c r="B7" s="14">
        <f t="shared" si="0"/>
        <v>1</v>
      </c>
      <c r="C7" s="15" t="str">
        <f t="shared" si="4"/>
        <v>jan</v>
      </c>
      <c r="D7">
        <v>10037</v>
      </c>
      <c r="E7" t="s">
        <v>44</v>
      </c>
      <c r="F7" t="s">
        <v>68</v>
      </c>
      <c r="G7" t="s">
        <v>43</v>
      </c>
      <c r="H7" t="s">
        <v>41</v>
      </c>
      <c r="I7" t="s">
        <v>23</v>
      </c>
      <c r="J7" s="4" t="s">
        <v>24</v>
      </c>
      <c r="K7" s="4">
        <v>1</v>
      </c>
      <c r="L7" s="3">
        <v>1450</v>
      </c>
      <c r="M7" s="5">
        <v>0</v>
      </c>
      <c r="N7" s="3">
        <f t="shared" si="2"/>
        <v>1450</v>
      </c>
      <c r="O7" s="3">
        <v>900</v>
      </c>
      <c r="P7" s="3">
        <f t="shared" si="3"/>
        <v>550</v>
      </c>
      <c r="Q7" s="6">
        <f t="shared" si="1"/>
        <v>37.931034482758619</v>
      </c>
      <c r="R7" t="s">
        <v>35</v>
      </c>
    </row>
    <row r="8" spans="1:18">
      <c r="A8" s="2">
        <v>46054</v>
      </c>
      <c r="B8" s="14">
        <f t="shared" si="0"/>
        <v>2</v>
      </c>
      <c r="C8" s="15" t="str">
        <f t="shared" si="4"/>
        <v>fev</v>
      </c>
      <c r="D8">
        <v>10020</v>
      </c>
      <c r="E8" t="s">
        <v>47</v>
      </c>
      <c r="F8" t="s">
        <v>39</v>
      </c>
      <c r="G8" t="s">
        <v>15</v>
      </c>
      <c r="H8" t="s">
        <v>16</v>
      </c>
      <c r="I8" t="s">
        <v>17</v>
      </c>
      <c r="J8" s="4" t="s">
        <v>46</v>
      </c>
      <c r="K8" s="4">
        <v>1</v>
      </c>
      <c r="L8" s="3">
        <v>1150</v>
      </c>
      <c r="M8" s="5">
        <v>0.1</v>
      </c>
      <c r="N8" s="3">
        <f t="shared" si="2"/>
        <v>1035</v>
      </c>
      <c r="O8" s="3">
        <v>760</v>
      </c>
      <c r="P8" s="3">
        <f t="shared" si="3"/>
        <v>275</v>
      </c>
      <c r="Q8" s="6">
        <f t="shared" si="1"/>
        <v>26.570048309178745</v>
      </c>
      <c r="R8" t="s">
        <v>25</v>
      </c>
    </row>
    <row r="9" spans="1:18">
      <c r="A9" s="2">
        <v>46056</v>
      </c>
      <c r="B9" s="14">
        <f t="shared" si="0"/>
        <v>2</v>
      </c>
      <c r="C9" s="15" t="str">
        <f t="shared" si="4"/>
        <v>fev</v>
      </c>
      <c r="D9">
        <v>10029</v>
      </c>
      <c r="E9" t="s">
        <v>32</v>
      </c>
      <c r="F9" t="s">
        <v>27</v>
      </c>
      <c r="G9" t="s">
        <v>58</v>
      </c>
      <c r="H9" t="s">
        <v>29</v>
      </c>
      <c r="I9" t="s">
        <v>53</v>
      </c>
      <c r="J9" s="4" t="s">
        <v>54</v>
      </c>
      <c r="K9" s="4">
        <v>2</v>
      </c>
      <c r="L9" s="3">
        <v>350</v>
      </c>
      <c r="M9" s="5">
        <v>0.1</v>
      </c>
      <c r="N9" s="3">
        <f t="shared" si="2"/>
        <v>665</v>
      </c>
      <c r="O9" s="3">
        <v>240</v>
      </c>
      <c r="P9" s="3">
        <f t="shared" si="3"/>
        <v>425</v>
      </c>
      <c r="Q9" s="6">
        <f t="shared" si="1"/>
        <v>63.909774436090231</v>
      </c>
      <c r="R9" t="s">
        <v>25</v>
      </c>
    </row>
    <row r="10" spans="1:18">
      <c r="A10" s="2">
        <v>46064</v>
      </c>
      <c r="B10" s="14">
        <f t="shared" si="0"/>
        <v>2</v>
      </c>
      <c r="C10" s="15" t="str">
        <f t="shared" si="4"/>
        <v>fev</v>
      </c>
      <c r="D10">
        <v>10047</v>
      </c>
      <c r="E10" t="s">
        <v>32</v>
      </c>
      <c r="F10" t="s">
        <v>59</v>
      </c>
      <c r="G10" t="s">
        <v>43</v>
      </c>
      <c r="H10" t="s">
        <v>41</v>
      </c>
      <c r="I10" t="s">
        <v>23</v>
      </c>
      <c r="J10" s="4" t="s">
        <v>30</v>
      </c>
      <c r="K10" s="4">
        <v>5</v>
      </c>
      <c r="L10" s="3">
        <v>1450</v>
      </c>
      <c r="M10" s="5">
        <v>0.08</v>
      </c>
      <c r="N10" s="3">
        <f t="shared" si="2"/>
        <v>7134</v>
      </c>
      <c r="O10" s="3">
        <v>4500</v>
      </c>
      <c r="P10" s="3">
        <f t="shared" si="3"/>
        <v>2634</v>
      </c>
      <c r="Q10" s="6">
        <f t="shared" si="1"/>
        <v>36.921783010933559</v>
      </c>
      <c r="R10" t="s">
        <v>35</v>
      </c>
    </row>
    <row r="11" spans="1:18">
      <c r="A11" s="2">
        <v>46067</v>
      </c>
      <c r="B11" s="14">
        <f t="shared" si="0"/>
        <v>2</v>
      </c>
      <c r="C11" s="15" t="str">
        <f t="shared" si="4"/>
        <v>fev</v>
      </c>
      <c r="D11">
        <v>10002</v>
      </c>
      <c r="E11" t="s">
        <v>20</v>
      </c>
      <c r="F11" t="s">
        <v>21</v>
      </c>
      <c r="G11" t="s">
        <v>22</v>
      </c>
      <c r="H11" t="s">
        <v>16</v>
      </c>
      <c r="I11" t="s">
        <v>23</v>
      </c>
      <c r="J11" s="4" t="s">
        <v>24</v>
      </c>
      <c r="K11" s="4">
        <v>1</v>
      </c>
      <c r="L11" s="3">
        <v>4200</v>
      </c>
      <c r="M11" s="5">
        <v>0</v>
      </c>
      <c r="N11" s="3">
        <f t="shared" si="2"/>
        <v>4200</v>
      </c>
      <c r="O11" s="3">
        <v>3000</v>
      </c>
      <c r="P11" s="3">
        <f t="shared" si="3"/>
        <v>1200</v>
      </c>
      <c r="Q11" s="6">
        <f t="shared" si="1"/>
        <v>28.571428571428569</v>
      </c>
      <c r="R11" t="s">
        <v>25</v>
      </c>
    </row>
    <row r="12" spans="1:18">
      <c r="A12" s="2">
        <v>46071</v>
      </c>
      <c r="B12" s="14">
        <f t="shared" si="0"/>
        <v>2</v>
      </c>
      <c r="C12" s="15" t="str">
        <f t="shared" si="4"/>
        <v>fev</v>
      </c>
      <c r="D12">
        <v>10038</v>
      </c>
      <c r="E12" t="s">
        <v>52</v>
      </c>
      <c r="F12" t="s">
        <v>27</v>
      </c>
      <c r="G12" t="s">
        <v>33</v>
      </c>
      <c r="H12" t="s">
        <v>34</v>
      </c>
      <c r="I12" t="s">
        <v>17</v>
      </c>
      <c r="J12" s="4" t="s">
        <v>18</v>
      </c>
      <c r="K12" s="4">
        <v>7</v>
      </c>
      <c r="L12" s="3">
        <v>420</v>
      </c>
      <c r="M12" s="5">
        <v>0</v>
      </c>
      <c r="N12" s="3">
        <f t="shared" si="2"/>
        <v>2940</v>
      </c>
      <c r="O12" s="3">
        <v>1750</v>
      </c>
      <c r="P12" s="3">
        <f t="shared" si="3"/>
        <v>1190</v>
      </c>
      <c r="Q12" s="6">
        <f t="shared" si="1"/>
        <v>40.476190476190474</v>
      </c>
      <c r="R12" t="s">
        <v>25</v>
      </c>
    </row>
    <row r="13" spans="1:18">
      <c r="A13" s="2">
        <v>46072</v>
      </c>
      <c r="B13" s="14">
        <f t="shared" si="0"/>
        <v>2</v>
      </c>
      <c r="C13" s="15" t="str">
        <f t="shared" si="4"/>
        <v>fev</v>
      </c>
      <c r="D13">
        <v>10011</v>
      </c>
      <c r="E13" t="s">
        <v>44</v>
      </c>
      <c r="F13" t="s">
        <v>21</v>
      </c>
      <c r="G13" t="s">
        <v>43</v>
      </c>
      <c r="H13" t="s">
        <v>41</v>
      </c>
      <c r="I13" t="s">
        <v>36</v>
      </c>
      <c r="J13" s="4" t="s">
        <v>45</v>
      </c>
      <c r="K13" s="4">
        <v>6</v>
      </c>
      <c r="L13" s="3">
        <v>1450</v>
      </c>
      <c r="M13" s="5">
        <v>0</v>
      </c>
      <c r="N13" s="3">
        <f t="shared" si="2"/>
        <v>8700</v>
      </c>
      <c r="O13" s="3">
        <v>5400</v>
      </c>
      <c r="P13" s="3">
        <f t="shared" si="3"/>
        <v>3300</v>
      </c>
      <c r="Q13" s="6">
        <f t="shared" si="1"/>
        <v>37.931034482758619</v>
      </c>
      <c r="R13" t="s">
        <v>19</v>
      </c>
    </row>
    <row r="14" spans="1:18">
      <c r="A14" s="2">
        <v>46089</v>
      </c>
      <c r="B14" s="14">
        <f t="shared" si="0"/>
        <v>3</v>
      </c>
      <c r="C14" s="15" t="str">
        <f t="shared" si="4"/>
        <v>mar</v>
      </c>
      <c r="D14">
        <v>10039</v>
      </c>
      <c r="E14" t="s">
        <v>32</v>
      </c>
      <c r="F14" t="s">
        <v>21</v>
      </c>
      <c r="G14" t="s">
        <v>15</v>
      </c>
      <c r="H14" t="s">
        <v>16</v>
      </c>
      <c r="I14" t="s">
        <v>23</v>
      </c>
      <c r="J14" s="4" t="s">
        <v>56</v>
      </c>
      <c r="K14" s="4">
        <v>6</v>
      </c>
      <c r="L14" s="3">
        <v>1150</v>
      </c>
      <c r="M14" s="5">
        <v>0.08</v>
      </c>
      <c r="N14" s="3">
        <f t="shared" si="2"/>
        <v>6808</v>
      </c>
      <c r="O14" s="3">
        <v>4560</v>
      </c>
      <c r="P14" s="3">
        <f t="shared" si="3"/>
        <v>2248</v>
      </c>
      <c r="Q14" s="6">
        <f t="shared" si="1"/>
        <v>33.019976498237369</v>
      </c>
      <c r="R14" t="s">
        <v>25</v>
      </c>
    </row>
    <row r="15" spans="1:18">
      <c r="A15" s="2">
        <v>46099</v>
      </c>
      <c r="B15" s="14">
        <f t="shared" si="0"/>
        <v>3</v>
      </c>
      <c r="C15" s="15" t="str">
        <f t="shared" si="4"/>
        <v>mar</v>
      </c>
      <c r="D15">
        <v>10048</v>
      </c>
      <c r="E15" t="s">
        <v>55</v>
      </c>
      <c r="F15" t="s">
        <v>21</v>
      </c>
      <c r="G15" t="s">
        <v>22</v>
      </c>
      <c r="H15" t="s">
        <v>16</v>
      </c>
      <c r="I15" t="s">
        <v>17</v>
      </c>
      <c r="J15" s="4" t="s">
        <v>46</v>
      </c>
      <c r="K15" s="4">
        <v>5</v>
      </c>
      <c r="L15" s="3">
        <v>4200</v>
      </c>
      <c r="M15" s="5">
        <v>0.02</v>
      </c>
      <c r="N15" s="3">
        <f t="shared" si="2"/>
        <v>20916</v>
      </c>
      <c r="O15" s="3">
        <v>15000</v>
      </c>
      <c r="P15" s="3">
        <f t="shared" si="3"/>
        <v>5916</v>
      </c>
      <c r="Q15" s="6">
        <f t="shared" si="1"/>
        <v>28.284566838783704</v>
      </c>
      <c r="R15" t="s">
        <v>31</v>
      </c>
    </row>
    <row r="16" spans="1:18">
      <c r="A16" s="2">
        <v>46101</v>
      </c>
      <c r="B16" s="14">
        <f t="shared" si="0"/>
        <v>3</v>
      </c>
      <c r="C16" s="15" t="str">
        <f t="shared" si="4"/>
        <v>mar</v>
      </c>
      <c r="D16">
        <v>10030</v>
      </c>
      <c r="E16" t="s">
        <v>20</v>
      </c>
      <c r="F16" t="s">
        <v>39</v>
      </c>
      <c r="G16" t="s">
        <v>15</v>
      </c>
      <c r="H16" t="s">
        <v>16</v>
      </c>
      <c r="I16" t="s">
        <v>17</v>
      </c>
      <c r="J16" s="4" t="s">
        <v>18</v>
      </c>
      <c r="K16" s="4">
        <v>7</v>
      </c>
      <c r="L16" s="3">
        <v>1150</v>
      </c>
      <c r="M16" s="5">
        <v>0.1</v>
      </c>
      <c r="N16" s="3">
        <f t="shared" si="2"/>
        <v>7935</v>
      </c>
      <c r="O16" s="3">
        <v>5320</v>
      </c>
      <c r="P16" s="3">
        <f t="shared" si="3"/>
        <v>2615</v>
      </c>
      <c r="Q16" s="6">
        <f t="shared" si="1"/>
        <v>32.955261499684937</v>
      </c>
      <c r="R16" t="s">
        <v>25</v>
      </c>
    </row>
    <row r="17" spans="1:18">
      <c r="A17" s="2">
        <v>46102</v>
      </c>
      <c r="B17" s="14">
        <f t="shared" si="0"/>
        <v>3</v>
      </c>
      <c r="C17" s="15" t="str">
        <f t="shared" si="4"/>
        <v>mar</v>
      </c>
      <c r="D17">
        <v>10003</v>
      </c>
      <c r="E17" t="s">
        <v>26</v>
      </c>
      <c r="F17" t="s">
        <v>27</v>
      </c>
      <c r="G17" t="s">
        <v>28</v>
      </c>
      <c r="H17" t="s">
        <v>29</v>
      </c>
      <c r="I17" t="s">
        <v>23</v>
      </c>
      <c r="J17" s="4" t="s">
        <v>30</v>
      </c>
      <c r="K17" s="4">
        <v>7</v>
      </c>
      <c r="L17" s="3">
        <v>650</v>
      </c>
      <c r="M17" s="5">
        <v>0</v>
      </c>
      <c r="N17" s="3">
        <f t="shared" si="2"/>
        <v>4550</v>
      </c>
      <c r="O17" s="3">
        <v>1750</v>
      </c>
      <c r="P17" s="3">
        <f t="shared" si="3"/>
        <v>2800</v>
      </c>
      <c r="Q17" s="6">
        <f t="shared" si="1"/>
        <v>61.53846153846154</v>
      </c>
      <c r="R17" t="s">
        <v>31</v>
      </c>
    </row>
    <row r="18" spans="1:18">
      <c r="A18" s="2">
        <v>46103</v>
      </c>
      <c r="B18" s="14">
        <f t="shared" si="0"/>
        <v>3</v>
      </c>
      <c r="C18" s="15" t="str">
        <f t="shared" si="4"/>
        <v>mar</v>
      </c>
      <c r="D18">
        <v>10021</v>
      </c>
      <c r="E18" t="s">
        <v>55</v>
      </c>
      <c r="F18" t="s">
        <v>21</v>
      </c>
      <c r="G18" t="s">
        <v>40</v>
      </c>
      <c r="H18" t="s">
        <v>41</v>
      </c>
      <c r="I18" t="s">
        <v>36</v>
      </c>
      <c r="J18" s="4" t="s">
        <v>37</v>
      </c>
      <c r="K18" s="4">
        <v>4</v>
      </c>
      <c r="L18" s="3">
        <v>1250</v>
      </c>
      <c r="M18" s="5">
        <v>0.08</v>
      </c>
      <c r="N18" s="3">
        <f t="shared" si="2"/>
        <v>4900</v>
      </c>
      <c r="O18" s="3">
        <v>3120</v>
      </c>
      <c r="P18" s="3">
        <f t="shared" si="3"/>
        <v>1780</v>
      </c>
      <c r="Q18" s="6">
        <f t="shared" si="1"/>
        <v>36.326530612244902</v>
      </c>
      <c r="R18" t="s">
        <v>25</v>
      </c>
    </row>
    <row r="19" spans="1:18">
      <c r="A19" s="2">
        <v>46109</v>
      </c>
      <c r="B19" s="14">
        <f t="shared" si="0"/>
        <v>3</v>
      </c>
      <c r="C19" s="15" t="str">
        <f t="shared" si="4"/>
        <v>mar</v>
      </c>
      <c r="D19">
        <v>10012</v>
      </c>
      <c r="E19" t="s">
        <v>32</v>
      </c>
      <c r="F19" t="s">
        <v>21</v>
      </c>
      <c r="G19" t="s">
        <v>15</v>
      </c>
      <c r="H19" t="s">
        <v>16</v>
      </c>
      <c r="I19" t="s">
        <v>17</v>
      </c>
      <c r="J19" s="4" t="s">
        <v>46</v>
      </c>
      <c r="K19" s="4">
        <v>3</v>
      </c>
      <c r="L19" s="3">
        <v>1150</v>
      </c>
      <c r="M19" s="5">
        <v>0.1</v>
      </c>
      <c r="N19" s="3">
        <f t="shared" si="2"/>
        <v>3335</v>
      </c>
      <c r="O19" s="3">
        <v>2280</v>
      </c>
      <c r="P19" s="3">
        <f t="shared" si="3"/>
        <v>1055</v>
      </c>
      <c r="Q19" s="6">
        <f t="shared" si="1"/>
        <v>31.634182908545728</v>
      </c>
      <c r="R19" t="s">
        <v>31</v>
      </c>
    </row>
    <row r="20" spans="1:18">
      <c r="A20" s="2">
        <v>46121</v>
      </c>
      <c r="B20" s="14">
        <f t="shared" si="0"/>
        <v>4</v>
      </c>
      <c r="C20" s="15" t="str">
        <f t="shared" si="4"/>
        <v>abr</v>
      </c>
      <c r="D20">
        <v>10004</v>
      </c>
      <c r="E20" t="s">
        <v>32</v>
      </c>
      <c r="F20" t="s">
        <v>27</v>
      </c>
      <c r="G20" t="s">
        <v>33</v>
      </c>
      <c r="H20" t="s">
        <v>34</v>
      </c>
      <c r="I20" t="s">
        <v>17</v>
      </c>
      <c r="J20" s="4" t="s">
        <v>18</v>
      </c>
      <c r="K20" s="4">
        <v>4</v>
      </c>
      <c r="L20" s="3">
        <v>420</v>
      </c>
      <c r="M20" s="5">
        <v>0.02</v>
      </c>
      <c r="N20" s="3">
        <f t="shared" si="2"/>
        <v>1671.6</v>
      </c>
      <c r="O20" s="3">
        <v>1000</v>
      </c>
      <c r="P20" s="3">
        <f t="shared" si="3"/>
        <v>671.59999999999991</v>
      </c>
      <c r="Q20" s="6">
        <f t="shared" si="1"/>
        <v>40.177075855467812</v>
      </c>
      <c r="R20" t="s">
        <v>35</v>
      </c>
    </row>
    <row r="21" spans="1:18">
      <c r="A21" s="2">
        <v>46127</v>
      </c>
      <c r="B21" s="14">
        <f t="shared" si="0"/>
        <v>4</v>
      </c>
      <c r="C21" s="15" t="str">
        <f t="shared" si="4"/>
        <v>abr</v>
      </c>
      <c r="D21">
        <v>10049</v>
      </c>
      <c r="E21" t="s">
        <v>61</v>
      </c>
      <c r="F21" t="s">
        <v>39</v>
      </c>
      <c r="G21" t="s">
        <v>38</v>
      </c>
      <c r="H21" t="s">
        <v>34</v>
      </c>
      <c r="I21" t="s">
        <v>36</v>
      </c>
      <c r="J21" s="4" t="s">
        <v>45</v>
      </c>
      <c r="K21" s="4">
        <v>8</v>
      </c>
      <c r="L21" s="3">
        <v>180</v>
      </c>
      <c r="M21" s="5">
        <v>0.1</v>
      </c>
      <c r="N21" s="3">
        <f t="shared" si="2"/>
        <v>1422</v>
      </c>
      <c r="O21" s="3">
        <v>760</v>
      </c>
      <c r="P21" s="3">
        <f t="shared" si="3"/>
        <v>662</v>
      </c>
      <c r="Q21" s="6">
        <f t="shared" si="1"/>
        <v>46.554149085794656</v>
      </c>
      <c r="R21" t="s">
        <v>35</v>
      </c>
    </row>
    <row r="22" spans="1:18">
      <c r="A22" s="2">
        <v>46132</v>
      </c>
      <c r="B22" s="14">
        <f t="shared" si="0"/>
        <v>4</v>
      </c>
      <c r="C22" s="15" t="str">
        <f t="shared" si="4"/>
        <v>abr</v>
      </c>
      <c r="D22">
        <v>10013</v>
      </c>
      <c r="E22" t="s">
        <v>47</v>
      </c>
      <c r="F22" t="s">
        <v>27</v>
      </c>
      <c r="G22" t="s">
        <v>40</v>
      </c>
      <c r="H22" t="s">
        <v>41</v>
      </c>
      <c r="I22" t="s">
        <v>36</v>
      </c>
      <c r="J22" s="4" t="s">
        <v>37</v>
      </c>
      <c r="K22" s="4">
        <v>5</v>
      </c>
      <c r="L22" s="3">
        <v>1250</v>
      </c>
      <c r="M22" s="5">
        <v>0.08</v>
      </c>
      <c r="N22" s="3">
        <f t="shared" si="2"/>
        <v>6150</v>
      </c>
      <c r="O22" s="3">
        <v>3900</v>
      </c>
      <c r="P22" s="3">
        <f t="shared" si="3"/>
        <v>2250</v>
      </c>
      <c r="Q22" s="6">
        <f t="shared" si="1"/>
        <v>36.585365853658537</v>
      </c>
      <c r="R22" t="s">
        <v>35</v>
      </c>
    </row>
    <row r="23" spans="1:18">
      <c r="A23" s="2">
        <v>46135</v>
      </c>
      <c r="B23" s="14">
        <f t="shared" si="0"/>
        <v>4</v>
      </c>
      <c r="C23" s="15" t="str">
        <f t="shared" si="4"/>
        <v>abr</v>
      </c>
      <c r="D23">
        <v>10031</v>
      </c>
      <c r="E23" t="s">
        <v>26</v>
      </c>
      <c r="F23" t="s">
        <v>59</v>
      </c>
      <c r="G23" t="s">
        <v>60</v>
      </c>
      <c r="H23" t="s">
        <v>49</v>
      </c>
      <c r="I23" t="s">
        <v>17</v>
      </c>
      <c r="J23" s="4" t="s">
        <v>42</v>
      </c>
      <c r="K23" s="4">
        <v>4</v>
      </c>
      <c r="L23" s="3">
        <v>3200</v>
      </c>
      <c r="M23" s="5">
        <v>0.02</v>
      </c>
      <c r="N23" s="3">
        <f t="shared" si="2"/>
        <v>12736</v>
      </c>
      <c r="O23" s="3">
        <v>9000</v>
      </c>
      <c r="P23" s="3">
        <f t="shared" si="3"/>
        <v>3736</v>
      </c>
      <c r="Q23" s="6">
        <f t="shared" si="1"/>
        <v>29.334170854271356</v>
      </c>
      <c r="R23" t="s">
        <v>19</v>
      </c>
    </row>
    <row r="24" spans="1:18">
      <c r="A24" s="2">
        <v>46138</v>
      </c>
      <c r="B24" s="14">
        <f t="shared" si="0"/>
        <v>4</v>
      </c>
      <c r="C24" s="15" t="str">
        <f t="shared" si="4"/>
        <v>abr</v>
      </c>
      <c r="D24">
        <v>10040</v>
      </c>
      <c r="E24" t="s">
        <v>52</v>
      </c>
      <c r="F24" t="s">
        <v>59</v>
      </c>
      <c r="G24" t="s">
        <v>33</v>
      </c>
      <c r="H24" t="s">
        <v>34</v>
      </c>
      <c r="I24" t="s">
        <v>23</v>
      </c>
      <c r="J24" s="4" t="s">
        <v>56</v>
      </c>
      <c r="K24" s="4">
        <v>7</v>
      </c>
      <c r="L24" s="3">
        <v>420</v>
      </c>
      <c r="M24" s="5">
        <v>0</v>
      </c>
      <c r="N24" s="3">
        <f t="shared" si="2"/>
        <v>2940</v>
      </c>
      <c r="O24" s="3">
        <v>1750</v>
      </c>
      <c r="P24" s="3">
        <f t="shared" si="3"/>
        <v>1190</v>
      </c>
      <c r="Q24" s="6">
        <f t="shared" si="1"/>
        <v>40.476190476190474</v>
      </c>
      <c r="R24" t="s">
        <v>35</v>
      </c>
    </row>
    <row r="25" spans="1:18">
      <c r="A25" s="2">
        <v>46138</v>
      </c>
      <c r="B25" s="14">
        <f t="shared" si="0"/>
        <v>4</v>
      </c>
      <c r="C25" s="15" t="str">
        <f t="shared" si="4"/>
        <v>abr</v>
      </c>
      <c r="D25">
        <v>10022</v>
      </c>
      <c r="E25" t="s">
        <v>32</v>
      </c>
      <c r="F25" t="s">
        <v>39</v>
      </c>
      <c r="G25" t="s">
        <v>43</v>
      </c>
      <c r="H25" t="s">
        <v>41</v>
      </c>
      <c r="I25" t="s">
        <v>50</v>
      </c>
      <c r="J25" s="4" t="s">
        <v>51</v>
      </c>
      <c r="K25" s="4">
        <v>4</v>
      </c>
      <c r="L25" s="3">
        <v>1450</v>
      </c>
      <c r="M25" s="5">
        <v>0</v>
      </c>
      <c r="N25" s="3">
        <f t="shared" si="2"/>
        <v>5800</v>
      </c>
      <c r="O25" s="3">
        <v>3600</v>
      </c>
      <c r="P25" s="3">
        <f t="shared" si="3"/>
        <v>2200</v>
      </c>
      <c r="Q25" s="6">
        <f t="shared" si="1"/>
        <v>37.931034482758619</v>
      </c>
      <c r="R25" t="s">
        <v>31</v>
      </c>
    </row>
    <row r="26" spans="1:18">
      <c r="A26" s="2">
        <v>46146</v>
      </c>
      <c r="B26" s="14">
        <f t="shared" si="0"/>
        <v>5</v>
      </c>
      <c r="C26" s="15" t="str">
        <f t="shared" si="4"/>
        <v>mai</v>
      </c>
      <c r="D26">
        <v>10014</v>
      </c>
      <c r="E26" t="s">
        <v>26</v>
      </c>
      <c r="F26" t="s">
        <v>21</v>
      </c>
      <c r="G26" t="s">
        <v>48</v>
      </c>
      <c r="H26" t="s">
        <v>49</v>
      </c>
      <c r="I26" t="s">
        <v>23</v>
      </c>
      <c r="J26" s="4" t="s">
        <v>24</v>
      </c>
      <c r="K26" s="4">
        <v>7</v>
      </c>
      <c r="L26" s="3">
        <v>2600</v>
      </c>
      <c r="M26" s="5">
        <v>0</v>
      </c>
      <c r="N26" s="3">
        <f t="shared" si="2"/>
        <v>18200</v>
      </c>
      <c r="O26" s="3">
        <v>12600</v>
      </c>
      <c r="P26" s="3">
        <f t="shared" si="3"/>
        <v>5600</v>
      </c>
      <c r="Q26" s="6">
        <f t="shared" si="1"/>
        <v>30.76923076923077</v>
      </c>
      <c r="R26" t="s">
        <v>19</v>
      </c>
    </row>
    <row r="27" spans="1:18">
      <c r="A27" s="2">
        <v>46151</v>
      </c>
      <c r="B27" s="14">
        <f t="shared" si="0"/>
        <v>5</v>
      </c>
      <c r="C27" s="15" t="str">
        <f t="shared" si="4"/>
        <v>mai</v>
      </c>
      <c r="D27">
        <v>10005</v>
      </c>
      <c r="E27" t="s">
        <v>32</v>
      </c>
      <c r="F27" t="s">
        <v>27</v>
      </c>
      <c r="G27" t="s">
        <v>22</v>
      </c>
      <c r="H27" t="s">
        <v>16</v>
      </c>
      <c r="I27" t="s">
        <v>36</v>
      </c>
      <c r="J27" s="4" t="s">
        <v>37</v>
      </c>
      <c r="K27" s="4">
        <v>8</v>
      </c>
      <c r="L27" s="3">
        <v>4200</v>
      </c>
      <c r="M27" s="5">
        <v>0.08</v>
      </c>
      <c r="N27" s="3">
        <f t="shared" si="2"/>
        <v>33264</v>
      </c>
      <c r="O27" s="3">
        <v>24000</v>
      </c>
      <c r="P27" s="3">
        <f t="shared" si="3"/>
        <v>9264</v>
      </c>
      <c r="Q27" s="6">
        <f t="shared" si="1"/>
        <v>27.849927849927852</v>
      </c>
      <c r="R27" t="s">
        <v>35</v>
      </c>
    </row>
    <row r="28" spans="1:18">
      <c r="A28" s="2">
        <v>46157</v>
      </c>
      <c r="B28" s="14">
        <f t="shared" si="0"/>
        <v>5</v>
      </c>
      <c r="C28" s="15" t="str">
        <f t="shared" si="4"/>
        <v>mai</v>
      </c>
      <c r="D28">
        <v>10032</v>
      </c>
      <c r="E28" t="s">
        <v>20</v>
      </c>
      <c r="F28" t="s">
        <v>39</v>
      </c>
      <c r="G28" t="s">
        <v>58</v>
      </c>
      <c r="H28" t="s">
        <v>29</v>
      </c>
      <c r="I28" t="s">
        <v>23</v>
      </c>
      <c r="J28" s="4" t="s">
        <v>56</v>
      </c>
      <c r="K28" s="4">
        <v>2</v>
      </c>
      <c r="L28" s="3">
        <v>350</v>
      </c>
      <c r="M28" s="5">
        <v>0</v>
      </c>
      <c r="N28" s="3">
        <f t="shared" si="2"/>
        <v>700</v>
      </c>
      <c r="O28" s="3">
        <v>240</v>
      </c>
      <c r="P28" s="3">
        <f t="shared" si="3"/>
        <v>460</v>
      </c>
      <c r="Q28" s="6">
        <f t="shared" si="1"/>
        <v>65.714285714285708</v>
      </c>
      <c r="R28" t="s">
        <v>35</v>
      </c>
    </row>
    <row r="29" spans="1:18">
      <c r="A29" s="2">
        <v>46168</v>
      </c>
      <c r="B29" s="14">
        <f t="shared" si="0"/>
        <v>5</v>
      </c>
      <c r="C29" s="15" t="str">
        <f t="shared" si="4"/>
        <v>mai</v>
      </c>
      <c r="D29">
        <v>10041</v>
      </c>
      <c r="E29" t="s">
        <v>13</v>
      </c>
      <c r="F29" t="s">
        <v>65</v>
      </c>
      <c r="G29" t="s">
        <v>15</v>
      </c>
      <c r="H29" t="s">
        <v>16</v>
      </c>
      <c r="I29" t="s">
        <v>36</v>
      </c>
      <c r="J29" s="4" t="s">
        <v>37</v>
      </c>
      <c r="K29" s="4">
        <v>7</v>
      </c>
      <c r="L29" s="3">
        <v>1150</v>
      </c>
      <c r="M29" s="5">
        <v>0.02</v>
      </c>
      <c r="N29" s="3">
        <f t="shared" si="2"/>
        <v>8027</v>
      </c>
      <c r="O29" s="3">
        <v>5320</v>
      </c>
      <c r="P29" s="3">
        <f t="shared" si="3"/>
        <v>2707</v>
      </c>
      <c r="Q29" s="6">
        <f t="shared" si="1"/>
        <v>33.723682571321788</v>
      </c>
      <c r="R29" t="s">
        <v>35</v>
      </c>
    </row>
    <row r="30" spans="1:18">
      <c r="A30" s="2">
        <v>46170</v>
      </c>
      <c r="B30" s="14">
        <f t="shared" si="0"/>
        <v>5</v>
      </c>
      <c r="C30" s="15" t="str">
        <f t="shared" si="4"/>
        <v>mai</v>
      </c>
      <c r="D30">
        <v>10023</v>
      </c>
      <c r="E30" t="s">
        <v>52</v>
      </c>
      <c r="F30" t="s">
        <v>27</v>
      </c>
      <c r="G30" t="s">
        <v>22</v>
      </c>
      <c r="H30" t="s">
        <v>16</v>
      </c>
      <c r="I30" t="s">
        <v>23</v>
      </c>
      <c r="J30" s="4" t="s">
        <v>56</v>
      </c>
      <c r="K30" s="4">
        <v>2</v>
      </c>
      <c r="L30" s="3">
        <v>4200</v>
      </c>
      <c r="M30" s="5">
        <v>0</v>
      </c>
      <c r="N30" s="3">
        <f t="shared" si="2"/>
        <v>8400</v>
      </c>
      <c r="O30" s="3">
        <v>6000</v>
      </c>
      <c r="P30" s="3">
        <f t="shared" si="3"/>
        <v>2400</v>
      </c>
      <c r="Q30" s="6">
        <f t="shared" si="1"/>
        <v>28.571428571428569</v>
      </c>
      <c r="R30" t="s">
        <v>25</v>
      </c>
    </row>
    <row r="31" spans="1:18">
      <c r="A31" s="2">
        <v>46181</v>
      </c>
      <c r="B31" s="14">
        <f t="shared" si="0"/>
        <v>6</v>
      </c>
      <c r="C31" s="15" t="str">
        <f t="shared" si="4"/>
        <v>jun</v>
      </c>
      <c r="D31">
        <v>10033</v>
      </c>
      <c r="E31" t="s">
        <v>20</v>
      </c>
      <c r="F31" t="s">
        <v>39</v>
      </c>
      <c r="G31" t="s">
        <v>60</v>
      </c>
      <c r="H31" t="s">
        <v>49</v>
      </c>
      <c r="I31" t="s">
        <v>53</v>
      </c>
      <c r="J31" s="4" t="s">
        <v>54</v>
      </c>
      <c r="K31" s="4">
        <v>5</v>
      </c>
      <c r="L31" s="3">
        <v>3200</v>
      </c>
      <c r="M31" s="5">
        <v>0</v>
      </c>
      <c r="N31" s="3">
        <f t="shared" si="2"/>
        <v>16000</v>
      </c>
      <c r="O31" s="3">
        <v>11250</v>
      </c>
      <c r="P31" s="3">
        <f t="shared" si="3"/>
        <v>4750</v>
      </c>
      <c r="Q31" s="6">
        <f t="shared" si="1"/>
        <v>29.6875</v>
      </c>
      <c r="R31" t="s">
        <v>19</v>
      </c>
    </row>
    <row r="32" spans="1:18">
      <c r="A32" s="2">
        <v>46183</v>
      </c>
      <c r="B32" s="14">
        <f t="shared" si="0"/>
        <v>6</v>
      </c>
      <c r="C32" s="15" t="str">
        <f t="shared" si="4"/>
        <v>jun</v>
      </c>
      <c r="D32">
        <v>10015</v>
      </c>
      <c r="E32" t="s">
        <v>44</v>
      </c>
      <c r="F32" t="s">
        <v>21</v>
      </c>
      <c r="G32" t="s">
        <v>28</v>
      </c>
      <c r="H32" t="s">
        <v>29</v>
      </c>
      <c r="I32" t="s">
        <v>36</v>
      </c>
      <c r="J32" s="4" t="s">
        <v>37</v>
      </c>
      <c r="K32" s="4">
        <v>4</v>
      </c>
      <c r="L32" s="3">
        <v>650</v>
      </c>
      <c r="M32" s="5">
        <v>0</v>
      </c>
      <c r="N32" s="3">
        <f t="shared" si="2"/>
        <v>2600</v>
      </c>
      <c r="O32" s="3">
        <v>1000</v>
      </c>
      <c r="P32" s="3">
        <f t="shared" si="3"/>
        <v>1600</v>
      </c>
      <c r="Q32" s="6">
        <f t="shared" si="1"/>
        <v>61.53846153846154</v>
      </c>
      <c r="R32" t="s">
        <v>19</v>
      </c>
    </row>
    <row r="33" spans="1:18">
      <c r="A33" s="2">
        <v>46191</v>
      </c>
      <c r="B33" s="14">
        <f t="shared" si="0"/>
        <v>6</v>
      </c>
      <c r="C33" s="15" t="str">
        <f t="shared" si="4"/>
        <v>jun</v>
      </c>
      <c r="D33">
        <v>10024</v>
      </c>
      <c r="E33" t="s">
        <v>57</v>
      </c>
      <c r="F33" t="s">
        <v>14</v>
      </c>
      <c r="G33" t="s">
        <v>40</v>
      </c>
      <c r="H33" t="s">
        <v>41</v>
      </c>
      <c r="I33" t="s">
        <v>17</v>
      </c>
      <c r="J33" s="4" t="s">
        <v>18</v>
      </c>
      <c r="K33" s="4">
        <v>3</v>
      </c>
      <c r="L33" s="3">
        <v>1250</v>
      </c>
      <c r="M33" s="5">
        <v>0.05</v>
      </c>
      <c r="N33" s="3">
        <f t="shared" si="2"/>
        <v>3687.5</v>
      </c>
      <c r="O33" s="3">
        <v>2340</v>
      </c>
      <c r="P33" s="3">
        <f t="shared" si="3"/>
        <v>1347.5</v>
      </c>
      <c r="Q33" s="6">
        <f t="shared" si="1"/>
        <v>36.542372881355931</v>
      </c>
      <c r="R33" t="s">
        <v>31</v>
      </c>
    </row>
    <row r="34" spans="1:18">
      <c r="A34" s="2">
        <v>46192</v>
      </c>
      <c r="B34" s="14">
        <f t="shared" si="0"/>
        <v>6</v>
      </c>
      <c r="C34" s="15" t="str">
        <f t="shared" si="4"/>
        <v>jun</v>
      </c>
      <c r="D34">
        <v>10006</v>
      </c>
      <c r="E34" t="s">
        <v>26</v>
      </c>
      <c r="F34" t="s">
        <v>27</v>
      </c>
      <c r="G34" t="s">
        <v>38</v>
      </c>
      <c r="H34" t="s">
        <v>34</v>
      </c>
      <c r="I34" t="s">
        <v>23</v>
      </c>
      <c r="J34" s="4" t="s">
        <v>30</v>
      </c>
      <c r="K34" s="4">
        <v>2</v>
      </c>
      <c r="L34" s="3">
        <v>180</v>
      </c>
      <c r="M34" s="5">
        <v>0</v>
      </c>
      <c r="N34" s="3">
        <f t="shared" si="2"/>
        <v>360</v>
      </c>
      <c r="O34" s="3">
        <v>190</v>
      </c>
      <c r="P34" s="3">
        <f t="shared" si="3"/>
        <v>170</v>
      </c>
      <c r="Q34" s="6">
        <f t="shared" ref="Q34:Q50" si="5">(P34/N34)*100</f>
        <v>47.222222222222221</v>
      </c>
      <c r="R34" t="s">
        <v>19</v>
      </c>
    </row>
    <row r="35" spans="1:18">
      <c r="A35" s="2">
        <v>46200</v>
      </c>
      <c r="B35" s="14">
        <f t="shared" si="0"/>
        <v>6</v>
      </c>
      <c r="C35" s="15" t="str">
        <f t="shared" si="4"/>
        <v>jun</v>
      </c>
      <c r="D35">
        <v>10042</v>
      </c>
      <c r="E35" t="s">
        <v>32</v>
      </c>
      <c r="F35" t="s">
        <v>39</v>
      </c>
      <c r="G35" t="s">
        <v>38</v>
      </c>
      <c r="H35" t="s">
        <v>34</v>
      </c>
      <c r="I35" t="s">
        <v>17</v>
      </c>
      <c r="J35" s="4" t="s">
        <v>46</v>
      </c>
      <c r="K35" s="4">
        <v>4</v>
      </c>
      <c r="L35" s="3">
        <v>180</v>
      </c>
      <c r="M35" s="5">
        <v>0</v>
      </c>
      <c r="N35" s="3">
        <f t="shared" si="2"/>
        <v>720</v>
      </c>
      <c r="O35" s="3">
        <v>380</v>
      </c>
      <c r="P35" s="3">
        <f t="shared" si="3"/>
        <v>340</v>
      </c>
      <c r="Q35" s="6">
        <f t="shared" si="5"/>
        <v>47.222222222222221</v>
      </c>
      <c r="R35" t="s">
        <v>19</v>
      </c>
    </row>
    <row r="36" spans="1:18">
      <c r="A36" s="2">
        <v>46207</v>
      </c>
      <c r="B36" s="14">
        <f t="shared" si="0"/>
        <v>7</v>
      </c>
      <c r="C36" s="15" t="str">
        <f t="shared" si="4"/>
        <v>jul</v>
      </c>
      <c r="D36">
        <v>10025</v>
      </c>
      <c r="E36" t="s">
        <v>13</v>
      </c>
      <c r="F36" t="s">
        <v>66</v>
      </c>
      <c r="G36" t="s">
        <v>22</v>
      </c>
      <c r="H36" t="s">
        <v>16</v>
      </c>
      <c r="I36" t="s">
        <v>50</v>
      </c>
      <c r="J36" s="4" t="s">
        <v>51</v>
      </c>
      <c r="K36" s="4">
        <v>1</v>
      </c>
      <c r="L36" s="3">
        <v>4200</v>
      </c>
      <c r="M36" s="5">
        <v>0</v>
      </c>
      <c r="N36" s="3">
        <f t="shared" si="2"/>
        <v>4200</v>
      </c>
      <c r="O36" s="3">
        <v>3000</v>
      </c>
      <c r="P36" s="3">
        <f t="shared" si="3"/>
        <v>1200</v>
      </c>
      <c r="Q36" s="6">
        <f t="shared" si="5"/>
        <v>28.571428571428569</v>
      </c>
      <c r="R36" t="s">
        <v>31</v>
      </c>
    </row>
    <row r="37" spans="1:18">
      <c r="A37" s="2">
        <v>46212</v>
      </c>
      <c r="B37" s="14">
        <f t="shared" si="0"/>
        <v>7</v>
      </c>
      <c r="C37" s="15" t="str">
        <f t="shared" si="4"/>
        <v>jul</v>
      </c>
      <c r="D37">
        <v>10007</v>
      </c>
      <c r="E37" t="s">
        <v>13</v>
      </c>
      <c r="F37" t="s">
        <v>39</v>
      </c>
      <c r="G37" t="s">
        <v>40</v>
      </c>
      <c r="H37" t="s">
        <v>41</v>
      </c>
      <c r="I37" t="s">
        <v>17</v>
      </c>
      <c r="J37" s="4" t="s">
        <v>18</v>
      </c>
      <c r="K37" s="4">
        <v>6</v>
      </c>
      <c r="L37" s="3">
        <v>1250</v>
      </c>
      <c r="M37" s="5">
        <v>0</v>
      </c>
      <c r="N37" s="3">
        <f t="shared" si="2"/>
        <v>7500</v>
      </c>
      <c r="O37" s="3">
        <v>4680</v>
      </c>
      <c r="P37" s="3">
        <f t="shared" si="3"/>
        <v>2820</v>
      </c>
      <c r="Q37" s="6">
        <f t="shared" si="5"/>
        <v>37.6</v>
      </c>
      <c r="R37" t="s">
        <v>25</v>
      </c>
    </row>
    <row r="38" spans="1:18">
      <c r="A38" s="2">
        <v>46215</v>
      </c>
      <c r="B38" s="14">
        <f t="shared" si="0"/>
        <v>7</v>
      </c>
      <c r="C38" s="15" t="str">
        <f t="shared" si="4"/>
        <v>jul</v>
      </c>
      <c r="D38">
        <v>10043</v>
      </c>
      <c r="E38" t="s">
        <v>20</v>
      </c>
      <c r="F38" t="s">
        <v>39</v>
      </c>
      <c r="G38" t="s">
        <v>28</v>
      </c>
      <c r="H38" t="s">
        <v>29</v>
      </c>
      <c r="I38" t="s">
        <v>23</v>
      </c>
      <c r="J38" s="4" t="s">
        <v>30</v>
      </c>
      <c r="K38" s="4">
        <v>7</v>
      </c>
      <c r="L38" s="3">
        <v>650</v>
      </c>
      <c r="M38" s="5">
        <v>0.1</v>
      </c>
      <c r="N38" s="3">
        <f t="shared" si="2"/>
        <v>4485</v>
      </c>
      <c r="O38" s="3">
        <v>1750</v>
      </c>
      <c r="P38" s="3">
        <f t="shared" si="3"/>
        <v>2735</v>
      </c>
      <c r="Q38" s="6">
        <f t="shared" si="5"/>
        <v>60.981047937569677</v>
      </c>
      <c r="R38" t="s">
        <v>19</v>
      </c>
    </row>
    <row r="39" spans="1:18">
      <c r="A39" s="2">
        <v>46219</v>
      </c>
      <c r="B39" s="14">
        <f t="shared" si="0"/>
        <v>7</v>
      </c>
      <c r="C39" s="15" t="str">
        <f t="shared" si="4"/>
        <v>jul</v>
      </c>
      <c r="D39">
        <v>10016</v>
      </c>
      <c r="E39" t="s">
        <v>26</v>
      </c>
      <c r="F39" t="s">
        <v>14</v>
      </c>
      <c r="G39" t="s">
        <v>22</v>
      </c>
      <c r="H39" t="s">
        <v>16</v>
      </c>
      <c r="I39" t="s">
        <v>23</v>
      </c>
      <c r="J39" s="4" t="s">
        <v>24</v>
      </c>
      <c r="K39" s="4">
        <v>2</v>
      </c>
      <c r="L39" s="3">
        <v>4200</v>
      </c>
      <c r="M39" s="5">
        <v>0.02</v>
      </c>
      <c r="N39" s="3">
        <f t="shared" si="2"/>
        <v>8316</v>
      </c>
      <c r="O39" s="3">
        <v>6000</v>
      </c>
      <c r="P39" s="3">
        <f t="shared" si="3"/>
        <v>2316</v>
      </c>
      <c r="Q39" s="6">
        <f t="shared" si="5"/>
        <v>27.849927849927852</v>
      </c>
      <c r="R39" t="s">
        <v>25</v>
      </c>
    </row>
    <row r="40" spans="1:18">
      <c r="A40" s="2">
        <v>46225</v>
      </c>
      <c r="B40" s="14">
        <f t="shared" si="0"/>
        <v>7</v>
      </c>
      <c r="C40" s="15" t="str">
        <f t="shared" si="4"/>
        <v>jul</v>
      </c>
      <c r="D40">
        <v>10034</v>
      </c>
      <c r="E40" t="s">
        <v>61</v>
      </c>
      <c r="F40" t="s">
        <v>21</v>
      </c>
      <c r="G40" t="s">
        <v>15</v>
      </c>
      <c r="H40" t="s">
        <v>16</v>
      </c>
      <c r="I40" t="s">
        <v>23</v>
      </c>
      <c r="J40" s="4" t="s">
        <v>30</v>
      </c>
      <c r="K40" s="4">
        <v>3</v>
      </c>
      <c r="L40" s="3">
        <v>1150</v>
      </c>
      <c r="M40" s="5">
        <v>0.02</v>
      </c>
      <c r="N40" s="3">
        <f t="shared" si="2"/>
        <v>3427</v>
      </c>
      <c r="O40" s="3">
        <v>2280</v>
      </c>
      <c r="P40" s="3">
        <f t="shared" si="3"/>
        <v>1147</v>
      </c>
      <c r="Q40" s="6">
        <f t="shared" si="5"/>
        <v>33.469506857309597</v>
      </c>
      <c r="R40" t="s">
        <v>35</v>
      </c>
    </row>
    <row r="41" spans="1:18">
      <c r="A41" s="2">
        <v>46237</v>
      </c>
      <c r="B41" s="14">
        <f t="shared" si="0"/>
        <v>8</v>
      </c>
      <c r="C41" s="15" t="str">
        <f t="shared" si="4"/>
        <v>ago</v>
      </c>
      <c r="D41">
        <v>10017</v>
      </c>
      <c r="E41" t="s">
        <v>20</v>
      </c>
      <c r="F41" t="s">
        <v>14</v>
      </c>
      <c r="G41" t="s">
        <v>15</v>
      </c>
      <c r="H41" t="s">
        <v>16</v>
      </c>
      <c r="I41" t="s">
        <v>23</v>
      </c>
      <c r="J41" s="4" t="s">
        <v>24</v>
      </c>
      <c r="K41" s="4">
        <v>8</v>
      </c>
      <c r="L41" s="3">
        <v>1150</v>
      </c>
      <c r="M41" s="5">
        <v>0</v>
      </c>
      <c r="N41" s="3">
        <f t="shared" si="2"/>
        <v>9200</v>
      </c>
      <c r="O41" s="3">
        <v>6080</v>
      </c>
      <c r="P41" s="3">
        <f t="shared" si="3"/>
        <v>3120</v>
      </c>
      <c r="Q41" s="6">
        <f t="shared" si="5"/>
        <v>33.913043478260867</v>
      </c>
      <c r="R41" t="s">
        <v>31</v>
      </c>
    </row>
    <row r="42" spans="1:18">
      <c r="A42" s="2">
        <v>46240</v>
      </c>
      <c r="B42" s="14">
        <f t="shared" si="0"/>
        <v>8</v>
      </c>
      <c r="C42" s="15" t="str">
        <f t="shared" si="4"/>
        <v>ago</v>
      </c>
      <c r="D42">
        <v>10044</v>
      </c>
      <c r="E42" t="s">
        <v>32</v>
      </c>
      <c r="F42" t="s">
        <v>39</v>
      </c>
      <c r="G42" t="s">
        <v>58</v>
      </c>
      <c r="H42" t="s">
        <v>29</v>
      </c>
      <c r="I42" t="s">
        <v>17</v>
      </c>
      <c r="J42" s="4" t="s">
        <v>18</v>
      </c>
      <c r="K42" s="4">
        <v>5</v>
      </c>
      <c r="L42" s="3">
        <v>350</v>
      </c>
      <c r="M42" s="5">
        <v>0</v>
      </c>
      <c r="N42" s="3">
        <f t="shared" si="2"/>
        <v>1750</v>
      </c>
      <c r="O42" s="3">
        <v>600</v>
      </c>
      <c r="P42" s="3">
        <f t="shared" si="3"/>
        <v>1150</v>
      </c>
      <c r="Q42" s="6">
        <f t="shared" si="5"/>
        <v>65.714285714285708</v>
      </c>
      <c r="R42" t="s">
        <v>31</v>
      </c>
    </row>
    <row r="43" spans="1:18">
      <c r="A43" s="2">
        <v>46241</v>
      </c>
      <c r="B43" s="14">
        <f t="shared" si="0"/>
        <v>8</v>
      </c>
      <c r="C43" s="15" t="str">
        <f t="shared" si="4"/>
        <v>ago</v>
      </c>
      <c r="D43">
        <v>10026</v>
      </c>
      <c r="E43" t="s">
        <v>32</v>
      </c>
      <c r="F43" t="s">
        <v>39</v>
      </c>
      <c r="G43" t="s">
        <v>43</v>
      </c>
      <c r="H43" t="s">
        <v>41</v>
      </c>
      <c r="I43" t="s">
        <v>36</v>
      </c>
      <c r="J43" s="4" t="s">
        <v>37</v>
      </c>
      <c r="K43" s="4">
        <v>1</v>
      </c>
      <c r="L43" s="3">
        <v>1450</v>
      </c>
      <c r="M43" s="5">
        <v>0</v>
      </c>
      <c r="N43" s="3">
        <f t="shared" si="2"/>
        <v>1450</v>
      </c>
      <c r="O43" s="3">
        <v>900</v>
      </c>
      <c r="P43" s="3">
        <f t="shared" si="3"/>
        <v>550</v>
      </c>
      <c r="Q43" s="6">
        <f t="shared" si="5"/>
        <v>37.931034482758619</v>
      </c>
      <c r="R43" t="s">
        <v>35</v>
      </c>
    </row>
    <row r="44" spans="1:18">
      <c r="A44" s="2">
        <v>46254</v>
      </c>
      <c r="B44" s="14">
        <f t="shared" si="0"/>
        <v>8</v>
      </c>
      <c r="C44" s="15" t="str">
        <f t="shared" si="4"/>
        <v>ago</v>
      </c>
      <c r="D44">
        <v>10035</v>
      </c>
      <c r="E44" t="s">
        <v>26</v>
      </c>
      <c r="F44" t="s">
        <v>21</v>
      </c>
      <c r="G44" t="s">
        <v>38</v>
      </c>
      <c r="H44" t="s">
        <v>34</v>
      </c>
      <c r="I44" t="s">
        <v>36</v>
      </c>
      <c r="J44" s="4" t="s">
        <v>45</v>
      </c>
      <c r="K44" s="4">
        <v>6</v>
      </c>
      <c r="L44" s="3">
        <v>180</v>
      </c>
      <c r="M44" s="5">
        <v>0</v>
      </c>
      <c r="N44" s="3">
        <f t="shared" si="2"/>
        <v>1080</v>
      </c>
      <c r="O44" s="3">
        <v>570</v>
      </c>
      <c r="P44" s="3">
        <f t="shared" si="3"/>
        <v>510</v>
      </c>
      <c r="Q44" s="6">
        <f t="shared" si="5"/>
        <v>47.222222222222221</v>
      </c>
      <c r="R44" t="s">
        <v>35</v>
      </c>
    </row>
    <row r="45" spans="1:18">
      <c r="A45" s="2">
        <v>46258</v>
      </c>
      <c r="B45" s="14">
        <f t="shared" si="0"/>
        <v>8</v>
      </c>
      <c r="C45" s="15" t="str">
        <f t="shared" si="4"/>
        <v>ago</v>
      </c>
      <c r="D45">
        <v>10008</v>
      </c>
      <c r="E45" t="s">
        <v>20</v>
      </c>
      <c r="F45" t="s">
        <v>14</v>
      </c>
      <c r="G45" t="s">
        <v>38</v>
      </c>
      <c r="H45" t="s">
        <v>34</v>
      </c>
      <c r="I45" t="s">
        <v>17</v>
      </c>
      <c r="J45" s="4" t="s">
        <v>42</v>
      </c>
      <c r="K45" s="4">
        <v>3</v>
      </c>
      <c r="L45" s="3">
        <v>180</v>
      </c>
      <c r="M45" s="5">
        <v>0.05</v>
      </c>
      <c r="N45" s="3">
        <f t="shared" si="2"/>
        <v>531</v>
      </c>
      <c r="O45" s="3">
        <v>285</v>
      </c>
      <c r="P45" s="3">
        <f t="shared" si="3"/>
        <v>246</v>
      </c>
      <c r="Q45" s="6">
        <f t="shared" si="5"/>
        <v>46.327683615819211</v>
      </c>
      <c r="R45" t="s">
        <v>19</v>
      </c>
    </row>
    <row r="46" spans="1:18">
      <c r="A46" s="2">
        <v>46268</v>
      </c>
      <c r="B46" s="14">
        <f t="shared" si="0"/>
        <v>9</v>
      </c>
      <c r="C46" s="15" t="str">
        <f t="shared" si="4"/>
        <v>set</v>
      </c>
      <c r="D46">
        <v>10036</v>
      </c>
      <c r="E46" t="s">
        <v>44</v>
      </c>
      <c r="F46" t="s">
        <v>39</v>
      </c>
      <c r="G46" t="s">
        <v>43</v>
      </c>
      <c r="H46" t="s">
        <v>41</v>
      </c>
      <c r="I46" t="s">
        <v>23</v>
      </c>
      <c r="J46" s="4" t="s">
        <v>24</v>
      </c>
      <c r="K46" s="4">
        <v>5</v>
      </c>
      <c r="L46" s="3">
        <v>1450</v>
      </c>
      <c r="M46" s="5">
        <v>0</v>
      </c>
      <c r="N46" s="3">
        <f t="shared" si="2"/>
        <v>7250</v>
      </c>
      <c r="O46" s="3">
        <v>4500</v>
      </c>
      <c r="P46" s="3">
        <f t="shared" si="3"/>
        <v>2750</v>
      </c>
      <c r="Q46" s="6">
        <f t="shared" si="5"/>
        <v>37.931034482758619</v>
      </c>
      <c r="R46" t="s">
        <v>31</v>
      </c>
    </row>
    <row r="47" spans="1:18">
      <c r="A47" s="2">
        <v>46271</v>
      </c>
      <c r="B47" s="14">
        <f t="shared" si="0"/>
        <v>9</v>
      </c>
      <c r="C47" s="15" t="str">
        <f t="shared" si="4"/>
        <v>set</v>
      </c>
      <c r="D47">
        <v>10018</v>
      </c>
      <c r="E47" t="s">
        <v>13</v>
      </c>
      <c r="F47" t="s">
        <v>39</v>
      </c>
      <c r="G47" t="s">
        <v>48</v>
      </c>
      <c r="H47" t="s">
        <v>49</v>
      </c>
      <c r="I47" t="s">
        <v>50</v>
      </c>
      <c r="J47" s="4" t="s">
        <v>51</v>
      </c>
      <c r="K47" s="4">
        <v>7</v>
      </c>
      <c r="L47" s="3">
        <v>2600</v>
      </c>
      <c r="M47" s="5">
        <v>0</v>
      </c>
      <c r="N47" s="3">
        <f t="shared" si="2"/>
        <v>18200</v>
      </c>
      <c r="O47" s="3">
        <v>12600</v>
      </c>
      <c r="P47" s="3">
        <f t="shared" si="3"/>
        <v>5600</v>
      </c>
      <c r="Q47" s="6">
        <f t="shared" si="5"/>
        <v>30.76923076923077</v>
      </c>
      <c r="R47" t="s">
        <v>35</v>
      </c>
    </row>
    <row r="48" spans="1:18">
      <c r="A48" s="2">
        <v>46282</v>
      </c>
      <c r="B48" s="14">
        <f t="shared" si="0"/>
        <v>9</v>
      </c>
      <c r="C48" s="15" t="str">
        <f t="shared" si="4"/>
        <v>set</v>
      </c>
      <c r="D48">
        <v>10045</v>
      </c>
      <c r="E48" t="s">
        <v>47</v>
      </c>
      <c r="F48" t="s">
        <v>59</v>
      </c>
      <c r="G48" t="s">
        <v>15</v>
      </c>
      <c r="H48" t="s">
        <v>16</v>
      </c>
      <c r="I48" t="s">
        <v>23</v>
      </c>
      <c r="J48" s="4" t="s">
        <v>30</v>
      </c>
      <c r="K48" s="4">
        <v>7</v>
      </c>
      <c r="L48" s="3">
        <v>1150</v>
      </c>
      <c r="M48" s="5">
        <v>0.08</v>
      </c>
      <c r="N48" s="3">
        <f t="shared" si="2"/>
        <v>7958</v>
      </c>
      <c r="O48" s="3">
        <v>5320</v>
      </c>
      <c r="P48" s="3">
        <f t="shared" si="3"/>
        <v>2638</v>
      </c>
      <c r="Q48" s="6">
        <f t="shared" si="5"/>
        <v>33.149032420206083</v>
      </c>
      <c r="R48" t="s">
        <v>25</v>
      </c>
    </row>
    <row r="49" spans="1:18">
      <c r="A49" s="2">
        <v>46288</v>
      </c>
      <c r="B49" s="14">
        <f t="shared" si="0"/>
        <v>9</v>
      </c>
      <c r="C49" s="15" t="str">
        <f t="shared" si="4"/>
        <v>set</v>
      </c>
      <c r="D49">
        <v>10027</v>
      </c>
      <c r="E49" t="s">
        <v>13</v>
      </c>
      <c r="F49" t="s">
        <v>27</v>
      </c>
      <c r="G49" t="s">
        <v>28</v>
      </c>
      <c r="H49" t="s">
        <v>29</v>
      </c>
      <c r="I49" t="s">
        <v>53</v>
      </c>
      <c r="J49" s="4" t="s">
        <v>54</v>
      </c>
      <c r="K49" s="4">
        <v>8</v>
      </c>
      <c r="L49" s="3">
        <v>650</v>
      </c>
      <c r="M49" s="5">
        <v>0</v>
      </c>
      <c r="N49" s="3">
        <f t="shared" si="2"/>
        <v>5200</v>
      </c>
      <c r="O49" s="3">
        <v>2000</v>
      </c>
      <c r="P49" s="3">
        <f t="shared" si="3"/>
        <v>3200</v>
      </c>
      <c r="Q49" s="6">
        <f t="shared" si="5"/>
        <v>61.53846153846154</v>
      </c>
      <c r="R49" t="s">
        <v>19</v>
      </c>
    </row>
    <row r="50" spans="1:18">
      <c r="A50" s="2">
        <v>46292</v>
      </c>
      <c r="B50" s="14">
        <f t="shared" si="0"/>
        <v>9</v>
      </c>
      <c r="C50" s="15" t="str">
        <f t="shared" si="4"/>
        <v>set</v>
      </c>
      <c r="D50">
        <v>10009</v>
      </c>
      <c r="E50" t="s">
        <v>13</v>
      </c>
      <c r="F50" t="s">
        <v>67</v>
      </c>
      <c r="G50" t="s">
        <v>22</v>
      </c>
      <c r="H50" t="s">
        <v>16</v>
      </c>
      <c r="I50" t="s">
        <v>17</v>
      </c>
      <c r="J50" s="4" t="s">
        <v>18</v>
      </c>
      <c r="K50" s="4">
        <v>6</v>
      </c>
      <c r="L50" s="3">
        <v>4200</v>
      </c>
      <c r="M50" s="5">
        <v>0.05</v>
      </c>
      <c r="N50" s="3">
        <f t="shared" si="2"/>
        <v>24990</v>
      </c>
      <c r="O50" s="3">
        <v>18000</v>
      </c>
      <c r="P50" s="3">
        <f t="shared" si="3"/>
        <v>6990</v>
      </c>
      <c r="Q50" s="6">
        <f t="shared" si="5"/>
        <v>27.971188475390157</v>
      </c>
      <c r="R50" t="s">
        <v>25</v>
      </c>
    </row>
    <row r="51" spans="1:18">
      <c r="A51" s="2">
        <v>46169</v>
      </c>
      <c r="B51" s="14">
        <f t="shared" si="0"/>
        <v>5</v>
      </c>
      <c r="C51" s="15" t="str">
        <f t="shared" si="4"/>
        <v>mai</v>
      </c>
      <c r="D51">
        <v>10050</v>
      </c>
      <c r="E51" t="s">
        <v>44</v>
      </c>
      <c r="F51" t="s">
        <v>27</v>
      </c>
      <c r="G51" t="s">
        <v>38</v>
      </c>
      <c r="H51" t="s">
        <v>34</v>
      </c>
      <c r="I51" t="s">
        <v>23</v>
      </c>
      <c r="J51" s="4" t="s">
        <v>30</v>
      </c>
      <c r="K51" s="4">
        <v>5</v>
      </c>
      <c r="L51" s="3">
        <v>180</v>
      </c>
      <c r="M51" s="5">
        <v>0</v>
      </c>
      <c r="N51" s="3">
        <f t="shared" si="2"/>
        <v>900</v>
      </c>
      <c r="O51" s="3">
        <v>475</v>
      </c>
      <c r="P51" s="3">
        <f t="shared" si="3"/>
        <v>425</v>
      </c>
      <c r="Q51" s="6">
        <v>0.47222222222222221</v>
      </c>
      <c r="R51" t="s">
        <v>25</v>
      </c>
    </row>
    <row r="52" spans="1:18">
      <c r="A52" s="2">
        <v>46193</v>
      </c>
      <c r="B52" s="14">
        <f t="shared" si="0"/>
        <v>6</v>
      </c>
      <c r="C52" s="15" t="str">
        <f t="shared" si="4"/>
        <v>jun</v>
      </c>
      <c r="D52">
        <v>10051</v>
      </c>
      <c r="E52" t="s">
        <v>55</v>
      </c>
      <c r="F52" t="s">
        <v>14</v>
      </c>
      <c r="G52" t="s">
        <v>15</v>
      </c>
      <c r="H52" t="s">
        <v>16</v>
      </c>
      <c r="I52" t="s">
        <v>50</v>
      </c>
      <c r="J52" s="4" t="s">
        <v>51</v>
      </c>
      <c r="K52" s="4">
        <v>8</v>
      </c>
      <c r="L52" s="3">
        <v>1150</v>
      </c>
      <c r="M52" s="5">
        <v>0.05</v>
      </c>
      <c r="N52" s="3">
        <f t="shared" si="2"/>
        <v>9142.5</v>
      </c>
      <c r="O52" s="3">
        <v>6080</v>
      </c>
      <c r="P52" s="3">
        <f t="shared" si="3"/>
        <v>3062.5</v>
      </c>
      <c r="Q52" s="6">
        <v>0.30434782608695649</v>
      </c>
      <c r="R52" t="s">
        <v>31</v>
      </c>
    </row>
    <row r="53" spans="1:18">
      <c r="A53" s="2">
        <v>46211</v>
      </c>
      <c r="B53" s="14">
        <f t="shared" si="0"/>
        <v>7</v>
      </c>
      <c r="C53" s="15" t="str">
        <f t="shared" si="4"/>
        <v>jul</v>
      </c>
      <c r="D53">
        <v>10052</v>
      </c>
      <c r="E53" t="s">
        <v>13</v>
      </c>
      <c r="F53" t="s">
        <v>14</v>
      </c>
      <c r="G53" t="s">
        <v>33</v>
      </c>
      <c r="H53" t="s">
        <v>34</v>
      </c>
      <c r="I53" t="s">
        <v>36</v>
      </c>
      <c r="J53" s="4" t="s">
        <v>45</v>
      </c>
      <c r="K53" s="4">
        <v>1</v>
      </c>
      <c r="L53" s="3">
        <v>420</v>
      </c>
      <c r="M53" s="5">
        <v>0</v>
      </c>
      <c r="N53" s="3">
        <f t="shared" si="2"/>
        <v>420</v>
      </c>
      <c r="O53" s="3">
        <v>250</v>
      </c>
      <c r="P53" s="3">
        <f t="shared" si="3"/>
        <v>170</v>
      </c>
      <c r="Q53" s="6">
        <v>0.40476190476190482</v>
      </c>
      <c r="R53" t="s">
        <v>31</v>
      </c>
    </row>
    <row r="54" spans="1:18">
      <c r="A54" s="2">
        <v>46252</v>
      </c>
      <c r="B54" s="14">
        <f t="shared" si="0"/>
        <v>8</v>
      </c>
      <c r="C54" s="15" t="str">
        <f t="shared" si="4"/>
        <v>ago</v>
      </c>
      <c r="D54">
        <v>10053</v>
      </c>
      <c r="E54" t="s">
        <v>57</v>
      </c>
      <c r="F54" t="s">
        <v>21</v>
      </c>
      <c r="G54" t="s">
        <v>38</v>
      </c>
      <c r="H54" t="s">
        <v>34</v>
      </c>
      <c r="I54" t="s">
        <v>36</v>
      </c>
      <c r="J54" s="4" t="s">
        <v>37</v>
      </c>
      <c r="K54" s="4">
        <v>2</v>
      </c>
      <c r="L54" s="3">
        <v>180</v>
      </c>
      <c r="M54" s="5">
        <v>0.05</v>
      </c>
      <c r="N54" s="3">
        <f t="shared" si="2"/>
        <v>351</v>
      </c>
      <c r="O54" s="3">
        <v>190</v>
      </c>
      <c r="P54" s="3">
        <f t="shared" si="3"/>
        <v>161</v>
      </c>
      <c r="Q54" s="6">
        <v>0.44444444444444442</v>
      </c>
      <c r="R54" t="s">
        <v>35</v>
      </c>
    </row>
    <row r="55" spans="1:18">
      <c r="A55" s="2">
        <v>46285</v>
      </c>
      <c r="B55" s="14">
        <f t="shared" si="0"/>
        <v>9</v>
      </c>
      <c r="C55" s="15" t="str">
        <f t="shared" si="4"/>
        <v>set</v>
      </c>
      <c r="D55">
        <v>10054</v>
      </c>
      <c r="E55" t="s">
        <v>44</v>
      </c>
      <c r="F55" t="s">
        <v>59</v>
      </c>
      <c r="G55" t="s">
        <v>28</v>
      </c>
      <c r="H55" t="s">
        <v>29</v>
      </c>
      <c r="I55" t="s">
        <v>36</v>
      </c>
      <c r="J55" s="4" t="s">
        <v>45</v>
      </c>
      <c r="K55" s="4">
        <v>7</v>
      </c>
      <c r="L55" s="3">
        <v>650</v>
      </c>
      <c r="M55" s="5">
        <v>0.08</v>
      </c>
      <c r="N55" s="3">
        <f t="shared" si="2"/>
        <v>4498</v>
      </c>
      <c r="O55" s="3">
        <v>1750</v>
      </c>
      <c r="P55" s="3">
        <f t="shared" si="3"/>
        <v>2748</v>
      </c>
      <c r="Q55" s="6">
        <v>0.58193979933110362</v>
      </c>
      <c r="R55" t="s">
        <v>35</v>
      </c>
    </row>
    <row r="56" spans="1:18">
      <c r="A56" s="2">
        <v>46049</v>
      </c>
      <c r="B56" s="14">
        <f t="shared" si="0"/>
        <v>1</v>
      </c>
      <c r="C56" s="15" t="str">
        <f t="shared" si="4"/>
        <v>jan</v>
      </c>
      <c r="D56">
        <v>10055</v>
      </c>
      <c r="E56" t="s">
        <v>57</v>
      </c>
      <c r="F56" t="s">
        <v>27</v>
      </c>
      <c r="G56" t="s">
        <v>48</v>
      </c>
      <c r="H56" t="s">
        <v>49</v>
      </c>
      <c r="I56" t="s">
        <v>17</v>
      </c>
      <c r="J56" s="4" t="s">
        <v>46</v>
      </c>
      <c r="K56" s="4">
        <v>8</v>
      </c>
      <c r="L56" s="3">
        <v>2600</v>
      </c>
      <c r="M56" s="5">
        <v>0.1</v>
      </c>
      <c r="N56" s="3">
        <f t="shared" si="2"/>
        <v>20540</v>
      </c>
      <c r="O56" s="3">
        <v>14400</v>
      </c>
      <c r="P56" s="3">
        <f t="shared" si="3"/>
        <v>6140</v>
      </c>
      <c r="Q56" s="6">
        <v>0.23076923076923081</v>
      </c>
      <c r="R56" t="s">
        <v>25</v>
      </c>
    </row>
    <row r="57" spans="1:18">
      <c r="A57" s="2">
        <v>46064</v>
      </c>
      <c r="B57" s="14">
        <f t="shared" si="0"/>
        <v>2</v>
      </c>
      <c r="C57" s="15" t="str">
        <f t="shared" si="4"/>
        <v>fev</v>
      </c>
      <c r="D57">
        <v>10056</v>
      </c>
      <c r="E57" t="s">
        <v>32</v>
      </c>
      <c r="F57" t="s">
        <v>14</v>
      </c>
      <c r="G57" t="s">
        <v>60</v>
      </c>
      <c r="H57" t="s">
        <v>49</v>
      </c>
      <c r="I57" t="s">
        <v>23</v>
      </c>
      <c r="J57" s="4" t="s">
        <v>30</v>
      </c>
      <c r="K57" s="4">
        <v>2</v>
      </c>
      <c r="L57" s="3">
        <v>3200</v>
      </c>
      <c r="M57" s="5">
        <v>0</v>
      </c>
      <c r="N57" s="3">
        <f t="shared" si="2"/>
        <v>6400</v>
      </c>
      <c r="O57" s="3">
        <v>4500</v>
      </c>
      <c r="P57" s="3">
        <f t="shared" si="3"/>
        <v>1900</v>
      </c>
      <c r="Q57" s="6">
        <v>0.296875</v>
      </c>
      <c r="R57" t="s">
        <v>19</v>
      </c>
    </row>
    <row r="58" spans="1:18">
      <c r="A58" s="2">
        <v>46095</v>
      </c>
      <c r="B58" s="14">
        <f t="shared" si="0"/>
        <v>3</v>
      </c>
      <c r="C58" s="15" t="str">
        <f t="shared" si="4"/>
        <v>mar</v>
      </c>
      <c r="D58">
        <v>10057</v>
      </c>
      <c r="E58" t="s">
        <v>32</v>
      </c>
      <c r="F58" t="s">
        <v>59</v>
      </c>
      <c r="G58" t="s">
        <v>60</v>
      </c>
      <c r="H58" t="s">
        <v>49</v>
      </c>
      <c r="I58" t="s">
        <v>53</v>
      </c>
      <c r="J58" s="4" t="s">
        <v>54</v>
      </c>
      <c r="K58" s="4">
        <v>8</v>
      </c>
      <c r="L58" s="3">
        <v>3200</v>
      </c>
      <c r="M58" s="5">
        <v>0.05</v>
      </c>
      <c r="N58" s="3">
        <f t="shared" si="2"/>
        <v>25440</v>
      </c>
      <c r="O58" s="3">
        <v>18000</v>
      </c>
      <c r="P58" s="3">
        <f t="shared" si="3"/>
        <v>7440</v>
      </c>
      <c r="Q58" s="6">
        <v>0.25986842105263158</v>
      </c>
      <c r="R58" t="s">
        <v>19</v>
      </c>
    </row>
    <row r="59" spans="1:18">
      <c r="A59" s="2">
        <v>46128</v>
      </c>
      <c r="B59" s="14">
        <f t="shared" si="0"/>
        <v>4</v>
      </c>
      <c r="C59" s="15" t="str">
        <f t="shared" si="4"/>
        <v>abr</v>
      </c>
      <c r="D59">
        <v>10058</v>
      </c>
      <c r="E59" t="s">
        <v>32</v>
      </c>
      <c r="F59" t="s">
        <v>21</v>
      </c>
      <c r="G59" t="s">
        <v>22</v>
      </c>
      <c r="H59" t="s">
        <v>16</v>
      </c>
      <c r="I59" t="s">
        <v>36</v>
      </c>
      <c r="J59" s="4" t="s">
        <v>37</v>
      </c>
      <c r="K59" s="4">
        <v>6</v>
      </c>
      <c r="L59" s="3">
        <v>4200</v>
      </c>
      <c r="M59" s="5">
        <v>0.02</v>
      </c>
      <c r="N59" s="3">
        <f t="shared" si="2"/>
        <v>25116</v>
      </c>
      <c r="O59" s="3">
        <v>18000</v>
      </c>
      <c r="P59" s="3">
        <f t="shared" si="3"/>
        <v>7116</v>
      </c>
      <c r="Q59" s="6">
        <v>0.27113702623906699</v>
      </c>
      <c r="R59" t="s">
        <v>25</v>
      </c>
    </row>
    <row r="60" spans="1:18">
      <c r="A60" s="2">
        <v>46150</v>
      </c>
      <c r="B60" s="14">
        <f t="shared" si="0"/>
        <v>5</v>
      </c>
      <c r="C60" s="15" t="str">
        <f t="shared" si="4"/>
        <v>mai</v>
      </c>
      <c r="D60">
        <v>10059</v>
      </c>
      <c r="E60" t="s">
        <v>52</v>
      </c>
      <c r="F60" t="s">
        <v>59</v>
      </c>
      <c r="G60" t="s">
        <v>48</v>
      </c>
      <c r="H60" t="s">
        <v>49</v>
      </c>
      <c r="I60" t="s">
        <v>23</v>
      </c>
      <c r="J60" s="4" t="s">
        <v>56</v>
      </c>
      <c r="K60" s="4">
        <v>7</v>
      </c>
      <c r="L60" s="3">
        <v>2600</v>
      </c>
      <c r="M60" s="5">
        <v>0.05</v>
      </c>
      <c r="N60" s="3">
        <f t="shared" si="2"/>
        <v>18070</v>
      </c>
      <c r="O60" s="3">
        <v>12600</v>
      </c>
      <c r="P60" s="3">
        <f t="shared" si="3"/>
        <v>5470</v>
      </c>
      <c r="Q60" s="6">
        <v>0.27125506072874489</v>
      </c>
      <c r="R60" t="s">
        <v>31</v>
      </c>
    </row>
    <row r="61" spans="1:18">
      <c r="A61" s="2">
        <v>46193</v>
      </c>
      <c r="B61" s="14">
        <f t="shared" si="0"/>
        <v>6</v>
      </c>
      <c r="C61" s="15" t="str">
        <f t="shared" si="4"/>
        <v>jun</v>
      </c>
      <c r="D61">
        <v>10060</v>
      </c>
      <c r="E61" t="s">
        <v>47</v>
      </c>
      <c r="F61" t="s">
        <v>27</v>
      </c>
      <c r="G61" t="s">
        <v>28</v>
      </c>
      <c r="H61" t="s">
        <v>29</v>
      </c>
      <c r="I61" t="s">
        <v>50</v>
      </c>
      <c r="J61" s="4" t="s">
        <v>51</v>
      </c>
      <c r="K61" s="4">
        <v>1</v>
      </c>
      <c r="L61" s="3">
        <v>650</v>
      </c>
      <c r="M61" s="5">
        <v>0.05</v>
      </c>
      <c r="N61" s="3">
        <f t="shared" si="2"/>
        <v>617.5</v>
      </c>
      <c r="O61" s="3">
        <v>250</v>
      </c>
      <c r="P61" s="3">
        <f t="shared" si="3"/>
        <v>367.5</v>
      </c>
      <c r="Q61" s="6">
        <v>0.59514170040485825</v>
      </c>
      <c r="R61" t="s">
        <v>25</v>
      </c>
    </row>
    <row r="62" spans="1:18">
      <c r="A62" s="2">
        <v>46209</v>
      </c>
      <c r="B62" s="14">
        <f t="shared" si="0"/>
        <v>7</v>
      </c>
      <c r="C62" s="15" t="str">
        <f t="shared" si="4"/>
        <v>jul</v>
      </c>
      <c r="D62">
        <v>10061</v>
      </c>
      <c r="E62" t="s">
        <v>57</v>
      </c>
      <c r="F62" t="s">
        <v>39</v>
      </c>
      <c r="G62" t="s">
        <v>22</v>
      </c>
      <c r="H62" t="s">
        <v>16</v>
      </c>
      <c r="I62" t="s">
        <v>17</v>
      </c>
      <c r="J62" s="4" t="s">
        <v>46</v>
      </c>
      <c r="K62" s="4">
        <v>5</v>
      </c>
      <c r="L62" s="3">
        <v>4200</v>
      </c>
      <c r="M62" s="5">
        <v>0.05</v>
      </c>
      <c r="N62" s="3">
        <f t="shared" si="2"/>
        <v>20790</v>
      </c>
      <c r="O62" s="3">
        <v>15000</v>
      </c>
      <c r="P62" s="3">
        <f t="shared" si="3"/>
        <v>5790</v>
      </c>
      <c r="Q62" s="6">
        <v>0.24812030075187971</v>
      </c>
      <c r="R62" t="s">
        <v>31</v>
      </c>
    </row>
    <row r="63" spans="1:18">
      <c r="A63" s="2">
        <v>46259</v>
      </c>
      <c r="B63" s="14">
        <f t="shared" si="0"/>
        <v>8</v>
      </c>
      <c r="C63" s="15" t="str">
        <f t="shared" si="4"/>
        <v>ago</v>
      </c>
      <c r="D63">
        <v>10062</v>
      </c>
      <c r="E63" t="s">
        <v>20</v>
      </c>
      <c r="F63" t="s">
        <v>27</v>
      </c>
      <c r="G63" t="s">
        <v>43</v>
      </c>
      <c r="H63" t="s">
        <v>41</v>
      </c>
      <c r="I63" t="s">
        <v>17</v>
      </c>
      <c r="J63" s="4" t="s">
        <v>18</v>
      </c>
      <c r="K63" s="4">
        <v>5</v>
      </c>
      <c r="L63" s="3">
        <v>1450</v>
      </c>
      <c r="M63" s="5">
        <v>0</v>
      </c>
      <c r="N63" s="3">
        <f t="shared" si="2"/>
        <v>7250</v>
      </c>
      <c r="O63" s="3">
        <v>4500</v>
      </c>
      <c r="P63" s="3">
        <f t="shared" si="3"/>
        <v>2750</v>
      </c>
      <c r="Q63" s="6">
        <v>0.37931034482758619</v>
      </c>
      <c r="R63" t="s">
        <v>25</v>
      </c>
    </row>
    <row r="64" spans="1:18">
      <c r="A64" s="2">
        <v>46268</v>
      </c>
      <c r="B64" s="14">
        <f t="shared" si="0"/>
        <v>9</v>
      </c>
      <c r="C64" s="15" t="str">
        <f t="shared" si="4"/>
        <v>set</v>
      </c>
      <c r="D64">
        <v>10063</v>
      </c>
      <c r="E64" t="s">
        <v>47</v>
      </c>
      <c r="F64" t="s">
        <v>21</v>
      </c>
      <c r="G64" t="s">
        <v>22</v>
      </c>
      <c r="H64" t="s">
        <v>16</v>
      </c>
      <c r="I64" t="s">
        <v>23</v>
      </c>
      <c r="J64" s="4" t="s">
        <v>56</v>
      </c>
      <c r="K64" s="4">
        <v>1</v>
      </c>
      <c r="L64" s="3">
        <v>4200</v>
      </c>
      <c r="M64" s="5">
        <v>0</v>
      </c>
      <c r="N64" s="3">
        <f t="shared" si="2"/>
        <v>4200</v>
      </c>
      <c r="O64" s="3">
        <v>3000</v>
      </c>
      <c r="P64" s="3">
        <f t="shared" si="3"/>
        <v>1200</v>
      </c>
      <c r="Q64" s="6">
        <v>0.2857142857142857</v>
      </c>
      <c r="R64" t="s">
        <v>25</v>
      </c>
    </row>
    <row r="65" spans="1:18">
      <c r="A65" s="2">
        <v>46038</v>
      </c>
      <c r="B65" s="14">
        <f t="shared" si="0"/>
        <v>1</v>
      </c>
      <c r="C65" s="15" t="str">
        <f t="shared" si="4"/>
        <v>jan</v>
      </c>
      <c r="D65">
        <v>10064</v>
      </c>
      <c r="E65" t="s">
        <v>52</v>
      </c>
      <c r="F65" t="s">
        <v>14</v>
      </c>
      <c r="G65" t="s">
        <v>15</v>
      </c>
      <c r="H65" t="s">
        <v>16</v>
      </c>
      <c r="I65" t="s">
        <v>53</v>
      </c>
      <c r="J65" s="4" t="s">
        <v>54</v>
      </c>
      <c r="K65" s="4">
        <v>4</v>
      </c>
      <c r="L65" s="3">
        <v>1150</v>
      </c>
      <c r="M65" s="5">
        <v>0.05</v>
      </c>
      <c r="N65" s="3">
        <f t="shared" si="2"/>
        <v>4542.5</v>
      </c>
      <c r="O65" s="3">
        <v>3040</v>
      </c>
      <c r="P65" s="3">
        <f t="shared" si="3"/>
        <v>1502.5</v>
      </c>
      <c r="Q65" s="6">
        <v>0.30434782608695649</v>
      </c>
      <c r="R65" t="s">
        <v>19</v>
      </c>
    </row>
    <row r="66" spans="1:18">
      <c r="A66" s="2">
        <v>46063</v>
      </c>
      <c r="B66" s="14">
        <f t="shared" si="0"/>
        <v>2</v>
      </c>
      <c r="C66" s="15" t="str">
        <f t="shared" si="4"/>
        <v>fev</v>
      </c>
      <c r="D66">
        <v>10065</v>
      </c>
      <c r="E66" t="s">
        <v>32</v>
      </c>
      <c r="F66" t="s">
        <v>59</v>
      </c>
      <c r="G66" t="s">
        <v>15</v>
      </c>
      <c r="H66" t="s">
        <v>16</v>
      </c>
      <c r="I66" t="s">
        <v>23</v>
      </c>
      <c r="J66" s="4" t="s">
        <v>24</v>
      </c>
      <c r="K66" s="4">
        <v>1</v>
      </c>
      <c r="L66" s="3">
        <v>1150</v>
      </c>
      <c r="M66" s="5">
        <v>0.02</v>
      </c>
      <c r="N66" s="3">
        <f t="shared" si="2"/>
        <v>1127</v>
      </c>
      <c r="O66" s="3">
        <v>760</v>
      </c>
      <c r="P66" s="3">
        <f t="shared" si="3"/>
        <v>367</v>
      </c>
      <c r="Q66" s="6">
        <v>0.32564330079858028</v>
      </c>
      <c r="R66" t="s">
        <v>19</v>
      </c>
    </row>
    <row r="67" spans="1:18">
      <c r="A67" s="2">
        <v>46104</v>
      </c>
      <c r="B67" s="14">
        <f t="shared" ref="B67:B130" si="6">MONTH(A67)</f>
        <v>3</v>
      </c>
      <c r="C67" s="15" t="str">
        <f t="shared" si="4"/>
        <v>mar</v>
      </c>
      <c r="D67">
        <v>10066</v>
      </c>
      <c r="E67" t="s">
        <v>55</v>
      </c>
      <c r="F67" t="s">
        <v>27</v>
      </c>
      <c r="G67" t="s">
        <v>38</v>
      </c>
      <c r="H67" t="s">
        <v>34</v>
      </c>
      <c r="I67" t="s">
        <v>53</v>
      </c>
      <c r="J67" s="4" t="s">
        <v>54</v>
      </c>
      <c r="K67" s="4">
        <v>2</v>
      </c>
      <c r="L67" s="3">
        <v>180</v>
      </c>
      <c r="M67" s="5">
        <v>0.1</v>
      </c>
      <c r="N67" s="3">
        <f t="shared" ref="N67:N130" si="7">(L67*K67)-(L67*M67)</f>
        <v>342</v>
      </c>
      <c r="O67" s="3">
        <v>190</v>
      </c>
      <c r="P67" s="3">
        <f t="shared" ref="P67:P130" si="8">N67-O67</f>
        <v>152</v>
      </c>
      <c r="Q67" s="6">
        <v>0.41358024691358031</v>
      </c>
      <c r="R67" t="s">
        <v>19</v>
      </c>
    </row>
    <row r="68" spans="1:18">
      <c r="A68" s="2">
        <v>46130</v>
      </c>
      <c r="B68" s="14">
        <f t="shared" si="6"/>
        <v>4</v>
      </c>
      <c r="C68" s="15" t="str">
        <f t="shared" ref="C68:C131" si="9">TEXT(DATE(2026, B68, 1), "MMM")</f>
        <v>abr</v>
      </c>
      <c r="D68">
        <v>10067</v>
      </c>
      <c r="E68" t="s">
        <v>52</v>
      </c>
      <c r="F68" t="s">
        <v>27</v>
      </c>
      <c r="G68" t="s">
        <v>43</v>
      </c>
      <c r="H68" t="s">
        <v>41</v>
      </c>
      <c r="I68" t="s">
        <v>50</v>
      </c>
      <c r="J68" s="4" t="s">
        <v>51</v>
      </c>
      <c r="K68" s="4">
        <v>6</v>
      </c>
      <c r="L68" s="3">
        <v>1450</v>
      </c>
      <c r="M68" s="5">
        <v>0</v>
      </c>
      <c r="N68" s="3">
        <f t="shared" si="7"/>
        <v>8700</v>
      </c>
      <c r="O68" s="3">
        <v>5400</v>
      </c>
      <c r="P68" s="3">
        <f t="shared" si="8"/>
        <v>3300</v>
      </c>
      <c r="Q68" s="6">
        <v>0.37931034482758619</v>
      </c>
      <c r="R68" t="s">
        <v>31</v>
      </c>
    </row>
    <row r="69" spans="1:18">
      <c r="A69" s="2">
        <v>46156</v>
      </c>
      <c r="B69" s="14">
        <f t="shared" si="6"/>
        <v>5</v>
      </c>
      <c r="C69" s="15" t="str">
        <f t="shared" si="9"/>
        <v>mai</v>
      </c>
      <c r="D69">
        <v>10068</v>
      </c>
      <c r="E69" t="s">
        <v>44</v>
      </c>
      <c r="F69" t="s">
        <v>21</v>
      </c>
      <c r="G69" t="s">
        <v>60</v>
      </c>
      <c r="H69" t="s">
        <v>49</v>
      </c>
      <c r="I69" t="s">
        <v>17</v>
      </c>
      <c r="J69" s="4" t="s">
        <v>46</v>
      </c>
      <c r="K69" s="4">
        <v>8</v>
      </c>
      <c r="L69" s="3">
        <v>3200</v>
      </c>
      <c r="M69" s="5">
        <v>0.1</v>
      </c>
      <c r="N69" s="3">
        <f t="shared" si="7"/>
        <v>25280</v>
      </c>
      <c r="O69" s="3">
        <v>18000</v>
      </c>
      <c r="P69" s="3">
        <f t="shared" si="8"/>
        <v>7280</v>
      </c>
      <c r="Q69" s="6">
        <v>0.21875</v>
      </c>
      <c r="R69" t="s">
        <v>31</v>
      </c>
    </row>
    <row r="70" spans="1:18">
      <c r="A70" s="2">
        <v>46187</v>
      </c>
      <c r="B70" s="14">
        <f t="shared" si="6"/>
        <v>6</v>
      </c>
      <c r="C70" s="15" t="str">
        <f t="shared" si="9"/>
        <v>jun</v>
      </c>
      <c r="D70">
        <v>10069</v>
      </c>
      <c r="E70" t="s">
        <v>61</v>
      </c>
      <c r="F70" t="s">
        <v>39</v>
      </c>
      <c r="G70" t="s">
        <v>58</v>
      </c>
      <c r="H70" t="s">
        <v>29</v>
      </c>
      <c r="I70" t="s">
        <v>36</v>
      </c>
      <c r="J70" s="4" t="s">
        <v>37</v>
      </c>
      <c r="K70" s="4">
        <v>5</v>
      </c>
      <c r="L70" s="3">
        <v>350</v>
      </c>
      <c r="M70" s="5">
        <v>0.02</v>
      </c>
      <c r="N70" s="3">
        <f t="shared" si="7"/>
        <v>1743</v>
      </c>
      <c r="O70" s="3">
        <v>600</v>
      </c>
      <c r="P70" s="3">
        <f t="shared" si="8"/>
        <v>1143</v>
      </c>
      <c r="Q70" s="6">
        <v>0.65014577259475215</v>
      </c>
      <c r="R70" t="s">
        <v>25</v>
      </c>
    </row>
    <row r="71" spans="1:18">
      <c r="A71" s="2">
        <v>46222</v>
      </c>
      <c r="B71" s="14">
        <f t="shared" si="6"/>
        <v>7</v>
      </c>
      <c r="C71" s="15" t="str">
        <f t="shared" si="9"/>
        <v>jul</v>
      </c>
      <c r="D71">
        <v>10070</v>
      </c>
      <c r="E71" t="s">
        <v>52</v>
      </c>
      <c r="F71" t="s">
        <v>14</v>
      </c>
      <c r="G71" t="s">
        <v>58</v>
      </c>
      <c r="H71" t="s">
        <v>29</v>
      </c>
      <c r="I71" t="s">
        <v>36</v>
      </c>
      <c r="J71" s="4" t="s">
        <v>37</v>
      </c>
      <c r="K71" s="4">
        <v>7</v>
      </c>
      <c r="L71" s="3">
        <v>350</v>
      </c>
      <c r="M71" s="5">
        <v>0.02</v>
      </c>
      <c r="N71" s="3">
        <f t="shared" si="7"/>
        <v>2443</v>
      </c>
      <c r="O71" s="3">
        <v>840</v>
      </c>
      <c r="P71" s="3">
        <f t="shared" si="8"/>
        <v>1603</v>
      </c>
      <c r="Q71" s="6">
        <v>0.65014577259475215</v>
      </c>
      <c r="R71" t="s">
        <v>25</v>
      </c>
    </row>
    <row r="72" spans="1:18">
      <c r="A72" s="2">
        <v>46260</v>
      </c>
      <c r="B72" s="14">
        <f t="shared" si="6"/>
        <v>8</v>
      </c>
      <c r="C72" s="15" t="str">
        <f t="shared" si="9"/>
        <v>ago</v>
      </c>
      <c r="D72">
        <v>10071</v>
      </c>
      <c r="E72" t="s">
        <v>26</v>
      </c>
      <c r="F72" t="s">
        <v>21</v>
      </c>
      <c r="G72" t="s">
        <v>48</v>
      </c>
      <c r="H72" t="s">
        <v>49</v>
      </c>
      <c r="I72" t="s">
        <v>23</v>
      </c>
      <c r="J72" s="4" t="s">
        <v>56</v>
      </c>
      <c r="K72" s="4">
        <v>6</v>
      </c>
      <c r="L72" s="3">
        <v>2600</v>
      </c>
      <c r="M72" s="5">
        <v>0.02</v>
      </c>
      <c r="N72" s="3">
        <f t="shared" si="7"/>
        <v>15548</v>
      </c>
      <c r="O72" s="3">
        <v>10800</v>
      </c>
      <c r="P72" s="3">
        <f t="shared" si="8"/>
        <v>4748</v>
      </c>
      <c r="Q72" s="6">
        <v>0.29356357927786503</v>
      </c>
      <c r="R72" t="s">
        <v>25</v>
      </c>
    </row>
    <row r="73" spans="1:18">
      <c r="A73" s="2">
        <v>46273</v>
      </c>
      <c r="B73" s="14">
        <f t="shared" si="6"/>
        <v>9</v>
      </c>
      <c r="C73" s="15" t="str">
        <f t="shared" si="9"/>
        <v>set</v>
      </c>
      <c r="D73">
        <v>10072</v>
      </c>
      <c r="E73" t="s">
        <v>57</v>
      </c>
      <c r="F73" t="s">
        <v>59</v>
      </c>
      <c r="G73" t="s">
        <v>43</v>
      </c>
      <c r="H73" t="s">
        <v>41</v>
      </c>
      <c r="I73" t="s">
        <v>36</v>
      </c>
      <c r="J73" s="4" t="s">
        <v>45</v>
      </c>
      <c r="K73" s="4">
        <v>8</v>
      </c>
      <c r="L73" s="3">
        <v>1450</v>
      </c>
      <c r="M73" s="5">
        <v>0.08</v>
      </c>
      <c r="N73" s="3">
        <f t="shared" si="7"/>
        <v>11484</v>
      </c>
      <c r="O73" s="3">
        <v>7200</v>
      </c>
      <c r="P73" s="3">
        <f t="shared" si="8"/>
        <v>4284</v>
      </c>
      <c r="Q73" s="6">
        <v>0.32533733133433279</v>
      </c>
      <c r="R73" t="s">
        <v>19</v>
      </c>
    </row>
    <row r="74" spans="1:18">
      <c r="A74" s="2">
        <v>46032</v>
      </c>
      <c r="B74" s="14">
        <f t="shared" si="6"/>
        <v>1</v>
      </c>
      <c r="C74" s="15" t="str">
        <f t="shared" si="9"/>
        <v>jan</v>
      </c>
      <c r="D74">
        <v>10073</v>
      </c>
      <c r="E74" t="s">
        <v>55</v>
      </c>
      <c r="F74" t="s">
        <v>39</v>
      </c>
      <c r="G74" t="s">
        <v>38</v>
      </c>
      <c r="H74" t="s">
        <v>34</v>
      </c>
      <c r="I74" t="s">
        <v>36</v>
      </c>
      <c r="J74" s="4" t="s">
        <v>37</v>
      </c>
      <c r="K74" s="4">
        <v>7</v>
      </c>
      <c r="L74" s="3">
        <v>180</v>
      </c>
      <c r="M74" s="5">
        <v>0.1</v>
      </c>
      <c r="N74" s="3">
        <f t="shared" si="7"/>
        <v>1242</v>
      </c>
      <c r="O74" s="3">
        <v>665</v>
      </c>
      <c r="P74" s="3">
        <f t="shared" si="8"/>
        <v>577</v>
      </c>
      <c r="Q74" s="6">
        <v>0.41358024691358031</v>
      </c>
      <c r="R74" t="s">
        <v>35</v>
      </c>
    </row>
    <row r="75" spans="1:18">
      <c r="A75" s="2">
        <v>46077</v>
      </c>
      <c r="B75" s="14">
        <f t="shared" si="6"/>
        <v>2</v>
      </c>
      <c r="C75" s="15" t="str">
        <f t="shared" si="9"/>
        <v>fev</v>
      </c>
      <c r="D75">
        <v>10074</v>
      </c>
      <c r="E75" t="s">
        <v>26</v>
      </c>
      <c r="F75" t="s">
        <v>39</v>
      </c>
      <c r="G75" t="s">
        <v>28</v>
      </c>
      <c r="H75" t="s">
        <v>29</v>
      </c>
      <c r="I75" t="s">
        <v>17</v>
      </c>
      <c r="J75" s="4" t="s">
        <v>42</v>
      </c>
      <c r="K75" s="4">
        <v>6</v>
      </c>
      <c r="L75" s="3">
        <v>650</v>
      </c>
      <c r="M75" s="5">
        <v>0.02</v>
      </c>
      <c r="N75" s="3">
        <f t="shared" si="7"/>
        <v>3887</v>
      </c>
      <c r="O75" s="3">
        <v>1500</v>
      </c>
      <c r="P75" s="3">
        <f t="shared" si="8"/>
        <v>2387</v>
      </c>
      <c r="Q75" s="6">
        <v>0.60753532182103609</v>
      </c>
      <c r="R75" t="s">
        <v>25</v>
      </c>
    </row>
    <row r="76" spans="1:18">
      <c r="A76" s="2">
        <v>46105</v>
      </c>
      <c r="B76" s="14">
        <f t="shared" si="6"/>
        <v>3</v>
      </c>
      <c r="C76" s="15" t="str">
        <f t="shared" si="9"/>
        <v>mar</v>
      </c>
      <c r="D76">
        <v>10075</v>
      </c>
      <c r="E76" t="s">
        <v>44</v>
      </c>
      <c r="F76" t="s">
        <v>14</v>
      </c>
      <c r="G76" t="s">
        <v>38</v>
      </c>
      <c r="H76" t="s">
        <v>34</v>
      </c>
      <c r="I76" t="s">
        <v>23</v>
      </c>
      <c r="J76" s="4" t="s">
        <v>30</v>
      </c>
      <c r="K76" s="4">
        <v>6</v>
      </c>
      <c r="L76" s="3">
        <v>180</v>
      </c>
      <c r="M76" s="5">
        <v>0</v>
      </c>
      <c r="N76" s="3">
        <f t="shared" si="7"/>
        <v>1080</v>
      </c>
      <c r="O76" s="3">
        <v>570</v>
      </c>
      <c r="P76" s="3">
        <f t="shared" si="8"/>
        <v>510</v>
      </c>
      <c r="Q76" s="6">
        <v>0.47222222222222221</v>
      </c>
      <c r="R76" t="s">
        <v>31</v>
      </c>
    </row>
    <row r="77" spans="1:18">
      <c r="A77" s="2">
        <v>46136</v>
      </c>
      <c r="B77" s="14">
        <f t="shared" si="6"/>
        <v>4</v>
      </c>
      <c r="C77" s="15" t="str">
        <f t="shared" si="9"/>
        <v>abr</v>
      </c>
      <c r="D77">
        <v>10076</v>
      </c>
      <c r="E77" t="s">
        <v>26</v>
      </c>
      <c r="F77" t="s">
        <v>14</v>
      </c>
      <c r="G77" t="s">
        <v>58</v>
      </c>
      <c r="H77" t="s">
        <v>29</v>
      </c>
      <c r="I77" t="s">
        <v>17</v>
      </c>
      <c r="J77" s="4" t="s">
        <v>46</v>
      </c>
      <c r="K77" s="4">
        <v>5</v>
      </c>
      <c r="L77" s="3">
        <v>350</v>
      </c>
      <c r="M77" s="5">
        <v>0</v>
      </c>
      <c r="N77" s="3">
        <f t="shared" si="7"/>
        <v>1750</v>
      </c>
      <c r="O77" s="3">
        <v>600</v>
      </c>
      <c r="P77" s="3">
        <f t="shared" si="8"/>
        <v>1150</v>
      </c>
      <c r="Q77" s="6">
        <v>0.65714285714285714</v>
      </c>
      <c r="R77" t="s">
        <v>25</v>
      </c>
    </row>
    <row r="78" spans="1:18">
      <c r="A78" s="2">
        <v>46143</v>
      </c>
      <c r="B78" s="14">
        <f t="shared" si="6"/>
        <v>5</v>
      </c>
      <c r="C78" s="15" t="str">
        <f t="shared" si="9"/>
        <v>mai</v>
      </c>
      <c r="D78">
        <v>10077</v>
      </c>
      <c r="E78" t="s">
        <v>47</v>
      </c>
      <c r="F78" t="s">
        <v>21</v>
      </c>
      <c r="G78" t="s">
        <v>28</v>
      </c>
      <c r="H78" t="s">
        <v>29</v>
      </c>
      <c r="I78" t="s">
        <v>17</v>
      </c>
      <c r="J78" s="4" t="s">
        <v>18</v>
      </c>
      <c r="K78" s="4">
        <v>3</v>
      </c>
      <c r="L78" s="3">
        <v>650</v>
      </c>
      <c r="M78" s="5">
        <v>0.02</v>
      </c>
      <c r="N78" s="3">
        <f t="shared" si="7"/>
        <v>1937</v>
      </c>
      <c r="O78" s="3">
        <v>750</v>
      </c>
      <c r="P78" s="3">
        <f t="shared" si="8"/>
        <v>1187</v>
      </c>
      <c r="Q78" s="6">
        <v>0.60753532182103609</v>
      </c>
      <c r="R78" t="s">
        <v>25</v>
      </c>
    </row>
    <row r="79" spans="1:18">
      <c r="A79" s="2">
        <v>46201</v>
      </c>
      <c r="B79" s="14">
        <f t="shared" si="6"/>
        <v>6</v>
      </c>
      <c r="C79" s="15" t="str">
        <f t="shared" si="9"/>
        <v>jun</v>
      </c>
      <c r="D79">
        <v>10078</v>
      </c>
      <c r="E79" t="s">
        <v>57</v>
      </c>
      <c r="F79" t="s">
        <v>59</v>
      </c>
      <c r="G79" t="s">
        <v>40</v>
      </c>
      <c r="H79" t="s">
        <v>41</v>
      </c>
      <c r="I79" t="s">
        <v>36</v>
      </c>
      <c r="J79" s="4" t="s">
        <v>45</v>
      </c>
      <c r="K79" s="4">
        <v>2</v>
      </c>
      <c r="L79" s="3">
        <v>1250</v>
      </c>
      <c r="M79" s="5">
        <v>0</v>
      </c>
      <c r="N79" s="3">
        <f t="shared" si="7"/>
        <v>2500</v>
      </c>
      <c r="O79" s="3">
        <v>1560</v>
      </c>
      <c r="P79" s="3">
        <f t="shared" si="8"/>
        <v>940</v>
      </c>
      <c r="Q79" s="6">
        <v>0.376</v>
      </c>
      <c r="R79" t="s">
        <v>35</v>
      </c>
    </row>
    <row r="80" spans="1:18">
      <c r="A80" s="2">
        <v>46205</v>
      </c>
      <c r="B80" s="14">
        <f t="shared" si="6"/>
        <v>7</v>
      </c>
      <c r="C80" s="15" t="str">
        <f t="shared" si="9"/>
        <v>jul</v>
      </c>
      <c r="D80">
        <v>10079</v>
      </c>
      <c r="E80" t="s">
        <v>32</v>
      </c>
      <c r="F80" t="s">
        <v>59</v>
      </c>
      <c r="G80" t="s">
        <v>48</v>
      </c>
      <c r="H80" t="s">
        <v>49</v>
      </c>
      <c r="I80" t="s">
        <v>17</v>
      </c>
      <c r="J80" s="4" t="s">
        <v>42</v>
      </c>
      <c r="K80" s="4">
        <v>8</v>
      </c>
      <c r="L80" s="3">
        <v>2600</v>
      </c>
      <c r="M80" s="5">
        <v>0</v>
      </c>
      <c r="N80" s="3">
        <f t="shared" si="7"/>
        <v>20800</v>
      </c>
      <c r="O80" s="3">
        <v>14400</v>
      </c>
      <c r="P80" s="3">
        <f t="shared" si="8"/>
        <v>6400</v>
      </c>
      <c r="Q80" s="6">
        <v>0.30769230769230771</v>
      </c>
      <c r="R80" t="s">
        <v>19</v>
      </c>
    </row>
    <row r="81" spans="1:18">
      <c r="A81" s="2">
        <v>46239</v>
      </c>
      <c r="B81" s="14">
        <f t="shared" si="6"/>
        <v>8</v>
      </c>
      <c r="C81" s="15" t="str">
        <f t="shared" si="9"/>
        <v>ago</v>
      </c>
      <c r="D81">
        <v>10080</v>
      </c>
      <c r="E81" t="s">
        <v>61</v>
      </c>
      <c r="F81" t="s">
        <v>21</v>
      </c>
      <c r="G81" t="s">
        <v>58</v>
      </c>
      <c r="H81" t="s">
        <v>29</v>
      </c>
      <c r="I81" t="s">
        <v>50</v>
      </c>
      <c r="J81" s="4" t="s">
        <v>51</v>
      </c>
      <c r="K81" s="4">
        <v>5</v>
      </c>
      <c r="L81" s="3">
        <v>350</v>
      </c>
      <c r="M81" s="5">
        <v>0</v>
      </c>
      <c r="N81" s="3">
        <f t="shared" si="7"/>
        <v>1750</v>
      </c>
      <c r="O81" s="3">
        <v>600</v>
      </c>
      <c r="P81" s="3">
        <f t="shared" si="8"/>
        <v>1150</v>
      </c>
      <c r="Q81" s="6">
        <v>0</v>
      </c>
      <c r="R81" t="s">
        <v>25</v>
      </c>
    </row>
    <row r="82" spans="1:18">
      <c r="A82" s="2">
        <v>46280</v>
      </c>
      <c r="B82" s="14">
        <f t="shared" si="6"/>
        <v>9</v>
      </c>
      <c r="C82" s="15" t="str">
        <f t="shared" si="9"/>
        <v>set</v>
      </c>
      <c r="D82">
        <v>10081</v>
      </c>
      <c r="E82" t="s">
        <v>26</v>
      </c>
      <c r="F82" t="s">
        <v>21</v>
      </c>
      <c r="G82" t="s">
        <v>40</v>
      </c>
      <c r="H82" t="s">
        <v>41</v>
      </c>
      <c r="I82" t="s">
        <v>53</v>
      </c>
      <c r="J82" s="4" t="s">
        <v>54</v>
      </c>
      <c r="K82" s="4">
        <v>5</v>
      </c>
      <c r="L82" s="3">
        <v>1250</v>
      </c>
      <c r="M82" s="5">
        <v>0.08</v>
      </c>
      <c r="N82" s="3">
        <f t="shared" si="7"/>
        <v>6150</v>
      </c>
      <c r="O82" s="3">
        <v>3900</v>
      </c>
      <c r="P82" s="3">
        <f t="shared" si="8"/>
        <v>2250</v>
      </c>
      <c r="Q82" s="6">
        <v>0</v>
      </c>
      <c r="R82" t="s">
        <v>19</v>
      </c>
    </row>
    <row r="83" spans="1:18">
      <c r="A83" s="2">
        <v>46047</v>
      </c>
      <c r="B83" s="14">
        <f t="shared" si="6"/>
        <v>1</v>
      </c>
      <c r="C83" s="15" t="str">
        <f t="shared" si="9"/>
        <v>jan</v>
      </c>
      <c r="D83">
        <v>10082</v>
      </c>
      <c r="E83" t="s">
        <v>44</v>
      </c>
      <c r="F83" t="s">
        <v>14</v>
      </c>
      <c r="G83" t="s">
        <v>38</v>
      </c>
      <c r="H83" t="s">
        <v>34</v>
      </c>
      <c r="I83" t="s">
        <v>23</v>
      </c>
      <c r="J83" s="4" t="s">
        <v>56</v>
      </c>
      <c r="K83" s="4">
        <v>4</v>
      </c>
      <c r="L83" s="3">
        <v>180</v>
      </c>
      <c r="M83" s="5">
        <v>0.02</v>
      </c>
      <c r="N83" s="3">
        <f t="shared" si="7"/>
        <v>716.4</v>
      </c>
      <c r="O83" s="3">
        <v>380</v>
      </c>
      <c r="P83" s="3">
        <f t="shared" si="8"/>
        <v>336.4</v>
      </c>
      <c r="Q83" s="6">
        <v>0.46145124716553287</v>
      </c>
      <c r="R83" t="s">
        <v>19</v>
      </c>
    </row>
    <row r="84" spans="1:18">
      <c r="A84" s="2">
        <v>46054</v>
      </c>
      <c r="B84" s="14">
        <f t="shared" si="6"/>
        <v>2</v>
      </c>
      <c r="C84" s="15" t="str">
        <f t="shared" si="9"/>
        <v>fev</v>
      </c>
      <c r="D84">
        <v>10083</v>
      </c>
      <c r="E84" t="s">
        <v>26</v>
      </c>
      <c r="F84" t="s">
        <v>27</v>
      </c>
      <c r="G84" t="s">
        <v>43</v>
      </c>
      <c r="H84" t="s">
        <v>41</v>
      </c>
      <c r="I84" t="s">
        <v>23</v>
      </c>
      <c r="J84" s="4" t="s">
        <v>24</v>
      </c>
      <c r="K84" s="4">
        <v>8</v>
      </c>
      <c r="L84" s="3">
        <v>1450</v>
      </c>
      <c r="M84" s="5">
        <v>0.1</v>
      </c>
      <c r="N84" s="3">
        <f t="shared" si="7"/>
        <v>11455</v>
      </c>
      <c r="O84" s="3">
        <v>7200</v>
      </c>
      <c r="P84" s="3">
        <f t="shared" si="8"/>
        <v>4255</v>
      </c>
      <c r="Q84" s="6">
        <v>0.31034482758620691</v>
      </c>
      <c r="R84" t="s">
        <v>35</v>
      </c>
    </row>
    <row r="85" spans="1:18">
      <c r="A85" s="2">
        <v>46091</v>
      </c>
      <c r="B85" s="14">
        <f t="shared" si="6"/>
        <v>3</v>
      </c>
      <c r="C85" s="15" t="str">
        <f t="shared" si="9"/>
        <v>mar</v>
      </c>
      <c r="D85">
        <v>10084</v>
      </c>
      <c r="E85" t="s">
        <v>26</v>
      </c>
      <c r="F85" t="s">
        <v>21</v>
      </c>
      <c r="G85" t="s">
        <v>40</v>
      </c>
      <c r="H85" t="s">
        <v>41</v>
      </c>
      <c r="I85" t="s">
        <v>23</v>
      </c>
      <c r="J85" s="4" t="s">
        <v>56</v>
      </c>
      <c r="K85" s="4">
        <v>2</v>
      </c>
      <c r="L85" s="3">
        <v>1250</v>
      </c>
      <c r="M85" s="5">
        <v>0.1</v>
      </c>
      <c r="N85" s="3">
        <f t="shared" si="7"/>
        <v>2375</v>
      </c>
      <c r="O85" s="3">
        <v>1560</v>
      </c>
      <c r="P85" s="3">
        <f t="shared" si="8"/>
        <v>815</v>
      </c>
      <c r="Q85" s="6">
        <v>0.30666666666666659</v>
      </c>
      <c r="R85" t="s">
        <v>31</v>
      </c>
    </row>
    <row r="86" spans="1:18">
      <c r="A86" s="2">
        <v>46130</v>
      </c>
      <c r="B86" s="14">
        <f t="shared" si="6"/>
        <v>4</v>
      </c>
      <c r="C86" s="15" t="str">
        <f t="shared" si="9"/>
        <v>abr</v>
      </c>
      <c r="D86">
        <v>10085</v>
      </c>
      <c r="E86" t="s">
        <v>61</v>
      </c>
      <c r="F86" t="s">
        <v>27</v>
      </c>
      <c r="G86" t="s">
        <v>38</v>
      </c>
      <c r="H86" t="s">
        <v>34</v>
      </c>
      <c r="I86" t="s">
        <v>23</v>
      </c>
      <c r="J86" s="4" t="s">
        <v>24</v>
      </c>
      <c r="K86" s="4">
        <v>3</v>
      </c>
      <c r="L86" s="3">
        <v>180</v>
      </c>
      <c r="M86" s="5">
        <v>0.02</v>
      </c>
      <c r="N86" s="3">
        <f t="shared" si="7"/>
        <v>536.4</v>
      </c>
      <c r="O86" s="3">
        <v>285</v>
      </c>
      <c r="P86" s="3">
        <f t="shared" si="8"/>
        <v>251.39999999999998</v>
      </c>
      <c r="Q86" s="6">
        <v>0.46145124716553287</v>
      </c>
      <c r="R86" t="s">
        <v>35</v>
      </c>
    </row>
    <row r="87" spans="1:18">
      <c r="A87" s="2">
        <v>46166</v>
      </c>
      <c r="B87" s="14">
        <f t="shared" si="6"/>
        <v>5</v>
      </c>
      <c r="C87" s="15" t="str">
        <f t="shared" si="9"/>
        <v>mai</v>
      </c>
      <c r="D87">
        <v>10086</v>
      </c>
      <c r="E87" t="s">
        <v>26</v>
      </c>
      <c r="F87" t="s">
        <v>59</v>
      </c>
      <c r="G87" t="s">
        <v>58</v>
      </c>
      <c r="H87" t="s">
        <v>29</v>
      </c>
      <c r="I87" t="s">
        <v>17</v>
      </c>
      <c r="J87" s="4" t="s">
        <v>46</v>
      </c>
      <c r="K87" s="4">
        <v>5</v>
      </c>
      <c r="L87" s="3">
        <v>350</v>
      </c>
      <c r="M87" s="5">
        <v>0.05</v>
      </c>
      <c r="N87" s="3">
        <f t="shared" si="7"/>
        <v>1732.5</v>
      </c>
      <c r="O87" s="3">
        <v>600</v>
      </c>
      <c r="P87" s="3">
        <f t="shared" si="8"/>
        <v>1132.5</v>
      </c>
      <c r="Q87" s="6">
        <v>0.63909774436090228</v>
      </c>
      <c r="R87" t="s">
        <v>31</v>
      </c>
    </row>
    <row r="88" spans="1:18">
      <c r="A88" s="2">
        <v>46176</v>
      </c>
      <c r="B88" s="14">
        <f t="shared" si="6"/>
        <v>6</v>
      </c>
      <c r="C88" s="15" t="str">
        <f t="shared" si="9"/>
        <v>jun</v>
      </c>
      <c r="D88">
        <v>10087</v>
      </c>
      <c r="E88" t="s">
        <v>55</v>
      </c>
      <c r="F88" t="s">
        <v>39</v>
      </c>
      <c r="G88" t="s">
        <v>58</v>
      </c>
      <c r="H88" t="s">
        <v>29</v>
      </c>
      <c r="I88" t="s">
        <v>23</v>
      </c>
      <c r="J88" s="4" t="s">
        <v>56</v>
      </c>
      <c r="K88" s="4">
        <v>1</v>
      </c>
      <c r="L88" s="3">
        <v>350</v>
      </c>
      <c r="M88" s="5">
        <v>0.05</v>
      </c>
      <c r="N88" s="3">
        <f t="shared" si="7"/>
        <v>332.5</v>
      </c>
      <c r="O88" s="3">
        <v>120</v>
      </c>
      <c r="P88" s="3">
        <f t="shared" si="8"/>
        <v>212.5</v>
      </c>
      <c r="Q88" s="6">
        <v>0.63909774436090228</v>
      </c>
      <c r="R88" t="s">
        <v>19</v>
      </c>
    </row>
    <row r="89" spans="1:18">
      <c r="A89" s="2">
        <v>46225</v>
      </c>
      <c r="B89" s="14">
        <f t="shared" si="6"/>
        <v>7</v>
      </c>
      <c r="C89" s="15" t="str">
        <f t="shared" si="9"/>
        <v>jul</v>
      </c>
      <c r="D89">
        <v>10088</v>
      </c>
      <c r="E89" t="s">
        <v>55</v>
      </c>
      <c r="F89" t="s">
        <v>27</v>
      </c>
      <c r="G89" t="s">
        <v>58</v>
      </c>
      <c r="H89" t="s">
        <v>29</v>
      </c>
      <c r="I89" t="s">
        <v>23</v>
      </c>
      <c r="J89" s="4" t="s">
        <v>24</v>
      </c>
      <c r="K89" s="4">
        <v>1</v>
      </c>
      <c r="L89" s="3">
        <v>350</v>
      </c>
      <c r="M89" s="5">
        <v>0.1</v>
      </c>
      <c r="N89" s="3">
        <f t="shared" si="7"/>
        <v>315</v>
      </c>
      <c r="O89" s="3">
        <v>120</v>
      </c>
      <c r="P89" s="3">
        <f t="shared" si="8"/>
        <v>195</v>
      </c>
      <c r="Q89" s="6">
        <v>0.61904761904761907</v>
      </c>
      <c r="R89" t="s">
        <v>31</v>
      </c>
    </row>
    <row r="90" spans="1:18">
      <c r="A90" s="2">
        <v>46255</v>
      </c>
      <c r="B90" s="14">
        <f t="shared" si="6"/>
        <v>8</v>
      </c>
      <c r="C90" s="15" t="str">
        <f t="shared" si="9"/>
        <v>ago</v>
      </c>
      <c r="D90">
        <v>10089</v>
      </c>
      <c r="E90" t="s">
        <v>32</v>
      </c>
      <c r="F90" t="s">
        <v>59</v>
      </c>
      <c r="G90" t="s">
        <v>40</v>
      </c>
      <c r="H90" t="s">
        <v>41</v>
      </c>
      <c r="I90" t="s">
        <v>17</v>
      </c>
      <c r="J90" s="4" t="s">
        <v>46</v>
      </c>
      <c r="K90" s="4">
        <v>5</v>
      </c>
      <c r="L90" s="3">
        <v>1250</v>
      </c>
      <c r="M90" s="5">
        <v>0</v>
      </c>
      <c r="N90" s="3">
        <f t="shared" si="7"/>
        <v>6250</v>
      </c>
      <c r="O90" s="3">
        <v>3900</v>
      </c>
      <c r="P90" s="3">
        <f t="shared" si="8"/>
        <v>2350</v>
      </c>
      <c r="Q90" s="6">
        <v>0</v>
      </c>
      <c r="R90" t="s">
        <v>31</v>
      </c>
    </row>
    <row r="91" spans="1:18">
      <c r="A91" s="2">
        <v>46279</v>
      </c>
      <c r="B91" s="14">
        <f t="shared" si="6"/>
        <v>9</v>
      </c>
      <c r="C91" s="15" t="str">
        <f t="shared" si="9"/>
        <v>set</v>
      </c>
      <c r="D91">
        <v>10090</v>
      </c>
      <c r="E91" t="s">
        <v>44</v>
      </c>
      <c r="F91" t="s">
        <v>39</v>
      </c>
      <c r="G91" t="s">
        <v>60</v>
      </c>
      <c r="H91" t="s">
        <v>49</v>
      </c>
      <c r="I91" t="s">
        <v>50</v>
      </c>
      <c r="J91" s="4" t="s">
        <v>51</v>
      </c>
      <c r="K91" s="4">
        <v>6</v>
      </c>
      <c r="L91" s="3">
        <v>3200</v>
      </c>
      <c r="M91" s="5">
        <v>0.1</v>
      </c>
      <c r="N91" s="3">
        <f t="shared" si="7"/>
        <v>18880</v>
      </c>
      <c r="O91" s="3">
        <v>13500</v>
      </c>
      <c r="P91" s="3">
        <f t="shared" si="8"/>
        <v>5380</v>
      </c>
      <c r="Q91" s="6">
        <v>0.21875</v>
      </c>
      <c r="R91" t="s">
        <v>31</v>
      </c>
    </row>
    <row r="92" spans="1:18">
      <c r="A92" s="2">
        <v>46044</v>
      </c>
      <c r="B92" s="14">
        <f t="shared" si="6"/>
        <v>1</v>
      </c>
      <c r="C92" s="15" t="str">
        <f t="shared" si="9"/>
        <v>jan</v>
      </c>
      <c r="D92">
        <v>10091</v>
      </c>
      <c r="E92" t="s">
        <v>26</v>
      </c>
      <c r="F92" t="s">
        <v>39</v>
      </c>
      <c r="G92" t="s">
        <v>43</v>
      </c>
      <c r="H92" t="s">
        <v>41</v>
      </c>
      <c r="I92" t="s">
        <v>17</v>
      </c>
      <c r="J92" s="4" t="s">
        <v>18</v>
      </c>
      <c r="K92" s="4">
        <v>1</v>
      </c>
      <c r="L92" s="3">
        <v>1450</v>
      </c>
      <c r="M92" s="5">
        <v>0.05</v>
      </c>
      <c r="N92" s="3">
        <f t="shared" si="7"/>
        <v>1377.5</v>
      </c>
      <c r="O92" s="3">
        <v>900</v>
      </c>
      <c r="P92" s="3">
        <f t="shared" si="8"/>
        <v>477.5</v>
      </c>
      <c r="Q92" s="6">
        <v>0.34664246823956441</v>
      </c>
      <c r="R92" t="s">
        <v>31</v>
      </c>
    </row>
    <row r="93" spans="1:18">
      <c r="A93" s="2">
        <v>46080</v>
      </c>
      <c r="B93" s="14">
        <f t="shared" si="6"/>
        <v>2</v>
      </c>
      <c r="C93" s="15" t="str">
        <f t="shared" si="9"/>
        <v>fev</v>
      </c>
      <c r="D93">
        <v>10092</v>
      </c>
      <c r="E93" t="s">
        <v>20</v>
      </c>
      <c r="F93" t="s">
        <v>39</v>
      </c>
      <c r="G93" t="s">
        <v>22</v>
      </c>
      <c r="H93" t="s">
        <v>16</v>
      </c>
      <c r="I93" t="s">
        <v>53</v>
      </c>
      <c r="J93" s="4" t="s">
        <v>54</v>
      </c>
      <c r="K93" s="4">
        <v>8</v>
      </c>
      <c r="L93" s="3">
        <v>4200</v>
      </c>
      <c r="M93" s="5">
        <v>0.05</v>
      </c>
      <c r="N93" s="3">
        <f t="shared" si="7"/>
        <v>33390</v>
      </c>
      <c r="O93" s="3">
        <v>24000</v>
      </c>
      <c r="P93" s="3">
        <f t="shared" si="8"/>
        <v>9390</v>
      </c>
      <c r="Q93" s="6">
        <v>0.24812030075187971</v>
      </c>
      <c r="R93" t="s">
        <v>31</v>
      </c>
    </row>
    <row r="94" spans="1:18">
      <c r="A94" s="2">
        <v>46106</v>
      </c>
      <c r="B94" s="14">
        <f t="shared" si="6"/>
        <v>3</v>
      </c>
      <c r="C94" s="15" t="str">
        <f t="shared" si="9"/>
        <v>mar</v>
      </c>
      <c r="D94">
        <v>10093</v>
      </c>
      <c r="E94" t="s">
        <v>26</v>
      </c>
      <c r="F94" t="s">
        <v>59</v>
      </c>
      <c r="G94" t="s">
        <v>22</v>
      </c>
      <c r="H94" t="s">
        <v>16</v>
      </c>
      <c r="I94" t="s">
        <v>36</v>
      </c>
      <c r="J94" s="4" t="s">
        <v>45</v>
      </c>
      <c r="K94" s="4">
        <v>4</v>
      </c>
      <c r="L94" s="3">
        <v>4200</v>
      </c>
      <c r="M94" s="5">
        <v>0.02</v>
      </c>
      <c r="N94" s="3">
        <f t="shared" si="7"/>
        <v>16716</v>
      </c>
      <c r="O94" s="3">
        <v>12000</v>
      </c>
      <c r="P94" s="3">
        <f t="shared" si="8"/>
        <v>4716</v>
      </c>
      <c r="Q94" s="6">
        <v>0.27113702623906699</v>
      </c>
      <c r="R94" t="s">
        <v>19</v>
      </c>
    </row>
    <row r="95" spans="1:18">
      <c r="A95" s="2">
        <v>46133</v>
      </c>
      <c r="B95" s="14">
        <f t="shared" si="6"/>
        <v>4</v>
      </c>
      <c r="C95" s="15" t="str">
        <f t="shared" si="9"/>
        <v>abr</v>
      </c>
      <c r="D95">
        <v>10094</v>
      </c>
      <c r="E95" t="s">
        <v>20</v>
      </c>
      <c r="F95" t="s">
        <v>27</v>
      </c>
      <c r="G95" t="s">
        <v>58</v>
      </c>
      <c r="H95" t="s">
        <v>29</v>
      </c>
      <c r="I95" t="s">
        <v>36</v>
      </c>
      <c r="J95" s="4" t="s">
        <v>45</v>
      </c>
      <c r="K95" s="4">
        <v>4</v>
      </c>
      <c r="L95" s="3">
        <v>350</v>
      </c>
      <c r="M95" s="5">
        <v>0.1</v>
      </c>
      <c r="N95" s="3">
        <f t="shared" si="7"/>
        <v>1365</v>
      </c>
      <c r="O95" s="3">
        <v>480</v>
      </c>
      <c r="P95" s="3">
        <f t="shared" si="8"/>
        <v>885</v>
      </c>
      <c r="Q95" s="6">
        <v>0.61904761904761907</v>
      </c>
      <c r="R95" t="s">
        <v>31</v>
      </c>
    </row>
    <row r="96" spans="1:18">
      <c r="A96" s="2">
        <v>46150</v>
      </c>
      <c r="B96" s="14">
        <f t="shared" si="6"/>
        <v>5</v>
      </c>
      <c r="C96" s="15" t="str">
        <f t="shared" si="9"/>
        <v>mai</v>
      </c>
      <c r="D96">
        <v>10095</v>
      </c>
      <c r="E96" t="s">
        <v>44</v>
      </c>
      <c r="F96" t="s">
        <v>59</v>
      </c>
      <c r="G96" t="s">
        <v>15</v>
      </c>
      <c r="H96" t="s">
        <v>16</v>
      </c>
      <c r="I96" t="s">
        <v>17</v>
      </c>
      <c r="J96" s="4" t="s">
        <v>46</v>
      </c>
      <c r="K96" s="4">
        <v>8</v>
      </c>
      <c r="L96" s="3">
        <v>1150</v>
      </c>
      <c r="M96" s="5">
        <v>0</v>
      </c>
      <c r="N96" s="3">
        <f t="shared" si="7"/>
        <v>9200</v>
      </c>
      <c r="O96" s="3">
        <v>6080</v>
      </c>
      <c r="P96" s="3">
        <f t="shared" si="8"/>
        <v>3120</v>
      </c>
      <c r="Q96" s="6">
        <v>0.33913043478260868</v>
      </c>
      <c r="R96" t="s">
        <v>35</v>
      </c>
    </row>
    <row r="97" spans="1:18">
      <c r="A97" s="2">
        <v>46200</v>
      </c>
      <c r="B97" s="14">
        <f t="shared" si="6"/>
        <v>6</v>
      </c>
      <c r="C97" s="15" t="str">
        <f t="shared" si="9"/>
        <v>jun</v>
      </c>
      <c r="D97">
        <v>10096</v>
      </c>
      <c r="E97" t="s">
        <v>44</v>
      </c>
      <c r="F97" t="s">
        <v>59</v>
      </c>
      <c r="G97" t="s">
        <v>40</v>
      </c>
      <c r="H97" t="s">
        <v>41</v>
      </c>
      <c r="I97" t="s">
        <v>23</v>
      </c>
      <c r="J97" s="4" t="s">
        <v>56</v>
      </c>
      <c r="K97" s="4">
        <v>8</v>
      </c>
      <c r="L97" s="3">
        <v>1250</v>
      </c>
      <c r="M97" s="5">
        <v>0</v>
      </c>
      <c r="N97" s="3">
        <f t="shared" si="7"/>
        <v>10000</v>
      </c>
      <c r="O97" s="3">
        <v>6240</v>
      </c>
      <c r="P97" s="3">
        <f t="shared" si="8"/>
        <v>3760</v>
      </c>
      <c r="Q97" s="6">
        <v>0.376</v>
      </c>
      <c r="R97" t="s">
        <v>25</v>
      </c>
    </row>
    <row r="98" spans="1:18">
      <c r="A98" s="2">
        <v>46212</v>
      </c>
      <c r="B98" s="14">
        <f t="shared" si="6"/>
        <v>7</v>
      </c>
      <c r="C98" s="15" t="str">
        <f t="shared" si="9"/>
        <v>jul</v>
      </c>
      <c r="D98">
        <v>10097</v>
      </c>
      <c r="E98" t="s">
        <v>47</v>
      </c>
      <c r="F98" t="s">
        <v>39</v>
      </c>
      <c r="G98" t="s">
        <v>43</v>
      </c>
      <c r="H98" t="s">
        <v>41</v>
      </c>
      <c r="I98" t="s">
        <v>17</v>
      </c>
      <c r="J98" s="4" t="s">
        <v>42</v>
      </c>
      <c r="K98" s="4">
        <v>6</v>
      </c>
      <c r="L98" s="3">
        <v>1450</v>
      </c>
      <c r="M98" s="5">
        <v>0.08</v>
      </c>
      <c r="N98" s="3">
        <f t="shared" si="7"/>
        <v>8584</v>
      </c>
      <c r="O98" s="3">
        <v>5400</v>
      </c>
      <c r="P98" s="3">
        <f t="shared" si="8"/>
        <v>3184</v>
      </c>
      <c r="Q98" s="6">
        <v>0.32533733133433279</v>
      </c>
      <c r="R98" t="s">
        <v>31</v>
      </c>
    </row>
    <row r="99" spans="1:18">
      <c r="A99" s="2">
        <v>46249</v>
      </c>
      <c r="B99" s="14">
        <f t="shared" si="6"/>
        <v>8</v>
      </c>
      <c r="C99" s="15" t="str">
        <f t="shared" si="9"/>
        <v>ago</v>
      </c>
      <c r="D99">
        <v>10098</v>
      </c>
      <c r="E99" t="s">
        <v>20</v>
      </c>
      <c r="F99" t="s">
        <v>59</v>
      </c>
      <c r="G99" t="s">
        <v>28</v>
      </c>
      <c r="H99" t="s">
        <v>29</v>
      </c>
      <c r="I99" t="s">
        <v>36</v>
      </c>
      <c r="J99" s="4" t="s">
        <v>45</v>
      </c>
      <c r="K99" s="4">
        <v>8</v>
      </c>
      <c r="L99" s="3">
        <v>650</v>
      </c>
      <c r="M99" s="5">
        <v>0.02</v>
      </c>
      <c r="N99" s="3">
        <f t="shared" si="7"/>
        <v>5187</v>
      </c>
      <c r="O99" s="3">
        <v>2000</v>
      </c>
      <c r="P99" s="3">
        <f t="shared" si="8"/>
        <v>3187</v>
      </c>
      <c r="Q99" s="6">
        <v>0.60753532182103609</v>
      </c>
      <c r="R99" t="s">
        <v>35</v>
      </c>
    </row>
    <row r="100" spans="1:18">
      <c r="A100" s="2">
        <v>46288</v>
      </c>
      <c r="B100" s="14">
        <f t="shared" si="6"/>
        <v>9</v>
      </c>
      <c r="C100" s="15" t="str">
        <f t="shared" si="9"/>
        <v>set</v>
      </c>
      <c r="D100">
        <v>10099</v>
      </c>
      <c r="E100" t="s">
        <v>32</v>
      </c>
      <c r="F100" t="s">
        <v>27</v>
      </c>
      <c r="G100" t="s">
        <v>38</v>
      </c>
      <c r="H100" t="s">
        <v>34</v>
      </c>
      <c r="I100" t="s">
        <v>17</v>
      </c>
      <c r="J100" s="4" t="s">
        <v>18</v>
      </c>
      <c r="K100" s="4">
        <v>7</v>
      </c>
      <c r="L100" s="3">
        <v>180</v>
      </c>
      <c r="M100" s="5">
        <v>0</v>
      </c>
      <c r="N100" s="3">
        <f t="shared" si="7"/>
        <v>1260</v>
      </c>
      <c r="O100" s="3">
        <v>665</v>
      </c>
      <c r="P100" s="3">
        <f t="shared" si="8"/>
        <v>595</v>
      </c>
      <c r="Q100" s="6">
        <v>0.47222222222222221</v>
      </c>
      <c r="R100" t="s">
        <v>31</v>
      </c>
    </row>
    <row r="101" spans="1:18">
      <c r="A101" s="2">
        <v>46048</v>
      </c>
      <c r="B101" s="14">
        <f t="shared" si="6"/>
        <v>1</v>
      </c>
      <c r="C101" s="15" t="str">
        <f t="shared" si="9"/>
        <v>jan</v>
      </c>
      <c r="D101">
        <v>10100</v>
      </c>
      <c r="E101" t="s">
        <v>44</v>
      </c>
      <c r="F101" t="s">
        <v>59</v>
      </c>
      <c r="G101" t="s">
        <v>43</v>
      </c>
      <c r="H101" t="s">
        <v>41</v>
      </c>
      <c r="I101" t="s">
        <v>23</v>
      </c>
      <c r="J101" s="4" t="s">
        <v>24</v>
      </c>
      <c r="K101" s="4">
        <v>7</v>
      </c>
      <c r="L101" s="3">
        <v>1450</v>
      </c>
      <c r="M101" s="5">
        <v>0.1</v>
      </c>
      <c r="N101" s="3">
        <f t="shared" si="7"/>
        <v>10005</v>
      </c>
      <c r="O101" s="3">
        <v>6300</v>
      </c>
      <c r="P101" s="3">
        <f t="shared" si="8"/>
        <v>3705</v>
      </c>
      <c r="Q101" s="6">
        <v>0.31034482758620691</v>
      </c>
      <c r="R101" t="s">
        <v>25</v>
      </c>
    </row>
    <row r="102" spans="1:18">
      <c r="A102" s="2">
        <v>46072</v>
      </c>
      <c r="B102" s="14">
        <f t="shared" si="6"/>
        <v>2</v>
      </c>
      <c r="C102" s="15" t="str">
        <f t="shared" si="9"/>
        <v>fev</v>
      </c>
      <c r="D102">
        <v>10101</v>
      </c>
      <c r="E102" t="s">
        <v>57</v>
      </c>
      <c r="F102" t="s">
        <v>27</v>
      </c>
      <c r="G102" t="s">
        <v>60</v>
      </c>
      <c r="H102" t="s">
        <v>49</v>
      </c>
      <c r="I102" t="s">
        <v>23</v>
      </c>
      <c r="J102" s="4" t="s">
        <v>24</v>
      </c>
      <c r="K102" s="4">
        <v>2</v>
      </c>
      <c r="L102" s="3">
        <v>3200</v>
      </c>
      <c r="M102" s="5">
        <v>0.05</v>
      </c>
      <c r="N102" s="3">
        <f t="shared" si="7"/>
        <v>6240</v>
      </c>
      <c r="O102" s="3">
        <v>4500</v>
      </c>
      <c r="P102" s="3">
        <f t="shared" si="8"/>
        <v>1740</v>
      </c>
      <c r="Q102" s="6">
        <v>0.25986842105263158</v>
      </c>
      <c r="R102" t="s">
        <v>31</v>
      </c>
    </row>
    <row r="103" spans="1:18">
      <c r="A103" s="2">
        <v>46086</v>
      </c>
      <c r="B103" s="14">
        <f t="shared" si="6"/>
        <v>3</v>
      </c>
      <c r="C103" s="15" t="str">
        <f t="shared" si="9"/>
        <v>mar</v>
      </c>
      <c r="D103">
        <v>10102</v>
      </c>
      <c r="E103" t="s">
        <v>32</v>
      </c>
      <c r="F103" t="s">
        <v>27</v>
      </c>
      <c r="G103" t="s">
        <v>15</v>
      </c>
      <c r="H103" t="s">
        <v>16</v>
      </c>
      <c r="I103" t="s">
        <v>17</v>
      </c>
      <c r="J103" s="4" t="s">
        <v>46</v>
      </c>
      <c r="K103" s="4">
        <v>8</v>
      </c>
      <c r="L103" s="3">
        <v>1150</v>
      </c>
      <c r="M103" s="5">
        <v>0.02</v>
      </c>
      <c r="N103" s="3">
        <f t="shared" si="7"/>
        <v>9177</v>
      </c>
      <c r="O103" s="3">
        <v>6080</v>
      </c>
      <c r="P103" s="3">
        <f t="shared" si="8"/>
        <v>3097</v>
      </c>
      <c r="Q103" s="6">
        <v>0.32564330079858028</v>
      </c>
      <c r="R103" t="s">
        <v>31</v>
      </c>
    </row>
    <row r="104" spans="1:18">
      <c r="A104" s="2">
        <v>46133</v>
      </c>
      <c r="B104" s="14">
        <f t="shared" si="6"/>
        <v>4</v>
      </c>
      <c r="C104" s="15" t="str">
        <f t="shared" si="9"/>
        <v>abr</v>
      </c>
      <c r="D104">
        <v>10103</v>
      </c>
      <c r="E104" t="s">
        <v>26</v>
      </c>
      <c r="F104" t="s">
        <v>14</v>
      </c>
      <c r="G104" t="s">
        <v>40</v>
      </c>
      <c r="H104" t="s">
        <v>41</v>
      </c>
      <c r="I104" t="s">
        <v>17</v>
      </c>
      <c r="J104" s="4" t="s">
        <v>42</v>
      </c>
      <c r="K104" s="4">
        <v>1</v>
      </c>
      <c r="L104" s="3">
        <v>1250</v>
      </c>
      <c r="M104" s="5">
        <v>0.08</v>
      </c>
      <c r="N104" s="3">
        <f t="shared" si="7"/>
        <v>1150</v>
      </c>
      <c r="O104" s="3">
        <v>780</v>
      </c>
      <c r="P104" s="3">
        <f t="shared" si="8"/>
        <v>370</v>
      </c>
      <c r="Q104" s="6">
        <v>0.32173913043478258</v>
      </c>
      <c r="R104" t="s">
        <v>31</v>
      </c>
    </row>
    <row r="105" spans="1:18">
      <c r="A105" s="2">
        <v>46167</v>
      </c>
      <c r="B105" s="14">
        <f t="shared" si="6"/>
        <v>5</v>
      </c>
      <c r="C105" s="15" t="str">
        <f t="shared" si="9"/>
        <v>mai</v>
      </c>
      <c r="D105">
        <v>10104</v>
      </c>
      <c r="E105" t="s">
        <v>47</v>
      </c>
      <c r="F105" t="s">
        <v>27</v>
      </c>
      <c r="G105" t="s">
        <v>15</v>
      </c>
      <c r="H105" t="s">
        <v>16</v>
      </c>
      <c r="I105" t="s">
        <v>17</v>
      </c>
      <c r="J105" s="4" t="s">
        <v>46</v>
      </c>
      <c r="K105" s="4">
        <v>8</v>
      </c>
      <c r="L105" s="3">
        <v>1150</v>
      </c>
      <c r="M105" s="5">
        <v>0</v>
      </c>
      <c r="N105" s="3">
        <f t="shared" si="7"/>
        <v>9200</v>
      </c>
      <c r="O105" s="3">
        <v>6080</v>
      </c>
      <c r="P105" s="3">
        <f t="shared" si="8"/>
        <v>3120</v>
      </c>
      <c r="Q105" s="6">
        <v>0.33913043478260868</v>
      </c>
      <c r="R105" t="s">
        <v>19</v>
      </c>
    </row>
    <row r="106" spans="1:18">
      <c r="A106" s="2">
        <v>46185</v>
      </c>
      <c r="B106" s="14">
        <f t="shared" si="6"/>
        <v>6</v>
      </c>
      <c r="C106" s="15" t="str">
        <f t="shared" si="9"/>
        <v>jun</v>
      </c>
      <c r="D106">
        <v>10105</v>
      </c>
      <c r="E106" t="s">
        <v>32</v>
      </c>
      <c r="F106" t="s">
        <v>21</v>
      </c>
      <c r="G106" t="s">
        <v>60</v>
      </c>
      <c r="H106" t="s">
        <v>49</v>
      </c>
      <c r="I106" t="s">
        <v>23</v>
      </c>
      <c r="J106" s="4" t="s">
        <v>56</v>
      </c>
      <c r="K106" s="4">
        <v>7</v>
      </c>
      <c r="L106" s="3">
        <v>3200</v>
      </c>
      <c r="M106" s="5">
        <v>0</v>
      </c>
      <c r="N106" s="3">
        <f t="shared" si="7"/>
        <v>22400</v>
      </c>
      <c r="O106" s="3">
        <v>15750</v>
      </c>
      <c r="P106" s="3">
        <f t="shared" si="8"/>
        <v>6650</v>
      </c>
      <c r="Q106" s="6">
        <v>0.296875</v>
      </c>
      <c r="R106" t="s">
        <v>25</v>
      </c>
    </row>
    <row r="107" spans="1:18">
      <c r="A107" s="2">
        <v>46206</v>
      </c>
      <c r="B107" s="14">
        <f t="shared" si="6"/>
        <v>7</v>
      </c>
      <c r="C107" s="15" t="str">
        <f t="shared" si="9"/>
        <v>jul</v>
      </c>
      <c r="D107">
        <v>10106</v>
      </c>
      <c r="E107" t="s">
        <v>57</v>
      </c>
      <c r="F107" t="s">
        <v>21</v>
      </c>
      <c r="G107" t="s">
        <v>58</v>
      </c>
      <c r="H107" t="s">
        <v>29</v>
      </c>
      <c r="I107" t="s">
        <v>23</v>
      </c>
      <c r="J107" s="4" t="s">
        <v>30</v>
      </c>
      <c r="K107" s="4">
        <v>7</v>
      </c>
      <c r="L107" s="3">
        <v>350</v>
      </c>
      <c r="M107" s="5">
        <v>0.08</v>
      </c>
      <c r="N107" s="3">
        <f t="shared" si="7"/>
        <v>2422</v>
      </c>
      <c r="O107" s="3">
        <v>840</v>
      </c>
      <c r="P107" s="3">
        <f t="shared" si="8"/>
        <v>1582</v>
      </c>
      <c r="Q107" s="6">
        <v>0.62732919254658381</v>
      </c>
      <c r="R107" t="s">
        <v>25</v>
      </c>
    </row>
    <row r="108" spans="1:18">
      <c r="A108" s="2">
        <v>46255</v>
      </c>
      <c r="B108" s="14">
        <f t="shared" si="6"/>
        <v>8</v>
      </c>
      <c r="C108" s="15" t="str">
        <f t="shared" si="9"/>
        <v>ago</v>
      </c>
      <c r="D108">
        <v>10107</v>
      </c>
      <c r="E108" t="s">
        <v>57</v>
      </c>
      <c r="F108" t="s">
        <v>39</v>
      </c>
      <c r="G108" t="s">
        <v>48</v>
      </c>
      <c r="H108" t="s">
        <v>49</v>
      </c>
      <c r="I108" t="s">
        <v>36</v>
      </c>
      <c r="J108" s="4" t="s">
        <v>45</v>
      </c>
      <c r="K108" s="4">
        <v>8</v>
      </c>
      <c r="L108" s="3">
        <v>2600</v>
      </c>
      <c r="M108" s="5">
        <v>0.02</v>
      </c>
      <c r="N108" s="3">
        <f t="shared" si="7"/>
        <v>20748</v>
      </c>
      <c r="O108" s="3">
        <v>14400</v>
      </c>
      <c r="P108" s="3">
        <f t="shared" si="8"/>
        <v>6348</v>
      </c>
      <c r="Q108" s="6">
        <v>0.29356357927786503</v>
      </c>
      <c r="R108" t="s">
        <v>25</v>
      </c>
    </row>
    <row r="109" spans="1:18">
      <c r="A109" s="2">
        <v>46280</v>
      </c>
      <c r="B109" s="14">
        <f t="shared" si="6"/>
        <v>9</v>
      </c>
      <c r="C109" s="15" t="str">
        <f t="shared" si="9"/>
        <v>set</v>
      </c>
      <c r="D109">
        <v>10108</v>
      </c>
      <c r="E109" t="s">
        <v>26</v>
      </c>
      <c r="F109" t="s">
        <v>59</v>
      </c>
      <c r="G109" t="s">
        <v>60</v>
      </c>
      <c r="H109" t="s">
        <v>49</v>
      </c>
      <c r="I109" t="s">
        <v>17</v>
      </c>
      <c r="J109" s="4" t="s">
        <v>46</v>
      </c>
      <c r="K109" s="4">
        <v>5</v>
      </c>
      <c r="L109" s="3">
        <v>3200</v>
      </c>
      <c r="M109" s="5">
        <v>0.1</v>
      </c>
      <c r="N109" s="3">
        <f t="shared" si="7"/>
        <v>15680</v>
      </c>
      <c r="O109" s="3">
        <v>11250</v>
      </c>
      <c r="P109" s="3">
        <f t="shared" si="8"/>
        <v>4430</v>
      </c>
      <c r="Q109" s="6">
        <v>0</v>
      </c>
      <c r="R109" t="s">
        <v>25</v>
      </c>
    </row>
    <row r="110" spans="1:18">
      <c r="A110" s="2">
        <v>46050</v>
      </c>
      <c r="B110" s="14">
        <f t="shared" si="6"/>
        <v>1</v>
      </c>
      <c r="C110" s="15" t="str">
        <f t="shared" si="9"/>
        <v>jan</v>
      </c>
      <c r="D110">
        <v>10109</v>
      </c>
      <c r="E110" t="s">
        <v>52</v>
      </c>
      <c r="F110" t="s">
        <v>21</v>
      </c>
      <c r="G110" t="s">
        <v>40</v>
      </c>
      <c r="H110" t="s">
        <v>41</v>
      </c>
      <c r="I110" t="s">
        <v>17</v>
      </c>
      <c r="J110" s="4" t="s">
        <v>42</v>
      </c>
      <c r="K110" s="4">
        <v>2</v>
      </c>
      <c r="L110" s="3">
        <v>1250</v>
      </c>
      <c r="M110" s="5">
        <v>0</v>
      </c>
      <c r="N110" s="3">
        <f t="shared" si="7"/>
        <v>2500</v>
      </c>
      <c r="O110" s="3">
        <v>1560</v>
      </c>
      <c r="P110" s="3">
        <f t="shared" si="8"/>
        <v>940</v>
      </c>
      <c r="Q110" s="6">
        <v>0.376</v>
      </c>
      <c r="R110" t="s">
        <v>35</v>
      </c>
    </row>
    <row r="111" spans="1:18">
      <c r="A111" s="2">
        <v>46080</v>
      </c>
      <c r="B111" s="14">
        <f t="shared" si="6"/>
        <v>2</v>
      </c>
      <c r="C111" s="15" t="str">
        <f t="shared" si="9"/>
        <v>fev</v>
      </c>
      <c r="D111">
        <v>10110</v>
      </c>
      <c r="E111" t="s">
        <v>47</v>
      </c>
      <c r="F111" t="s">
        <v>21</v>
      </c>
      <c r="G111" t="s">
        <v>43</v>
      </c>
      <c r="H111" t="s">
        <v>41</v>
      </c>
      <c r="I111" t="s">
        <v>36</v>
      </c>
      <c r="J111" s="4" t="s">
        <v>45</v>
      </c>
      <c r="K111" s="4">
        <v>5</v>
      </c>
      <c r="L111" s="3">
        <v>1450</v>
      </c>
      <c r="M111" s="5">
        <v>0</v>
      </c>
      <c r="N111" s="3">
        <f t="shared" si="7"/>
        <v>7250</v>
      </c>
      <c r="O111" s="3">
        <v>4500</v>
      </c>
      <c r="P111" s="3">
        <f t="shared" si="8"/>
        <v>2750</v>
      </c>
      <c r="Q111" s="6">
        <v>0.37931034482758619</v>
      </c>
      <c r="R111" t="s">
        <v>35</v>
      </c>
    </row>
    <row r="112" spans="1:18">
      <c r="A112" s="2">
        <v>46101</v>
      </c>
      <c r="B112" s="14">
        <f t="shared" si="6"/>
        <v>3</v>
      </c>
      <c r="C112" s="15" t="str">
        <f t="shared" si="9"/>
        <v>mar</v>
      </c>
      <c r="D112">
        <v>10111</v>
      </c>
      <c r="E112" t="s">
        <v>26</v>
      </c>
      <c r="F112" t="s">
        <v>14</v>
      </c>
      <c r="G112" t="s">
        <v>60</v>
      </c>
      <c r="H112" t="s">
        <v>49</v>
      </c>
      <c r="I112" t="s">
        <v>17</v>
      </c>
      <c r="J112" s="4" t="s">
        <v>46</v>
      </c>
      <c r="K112" s="4">
        <v>4</v>
      </c>
      <c r="L112" s="3">
        <v>3200</v>
      </c>
      <c r="M112" s="5">
        <v>0.1</v>
      </c>
      <c r="N112" s="3">
        <f t="shared" si="7"/>
        <v>12480</v>
      </c>
      <c r="O112" s="3">
        <v>9000</v>
      </c>
      <c r="P112" s="3">
        <f t="shared" si="8"/>
        <v>3480</v>
      </c>
      <c r="Q112" s="6">
        <v>0.21875</v>
      </c>
      <c r="R112" t="s">
        <v>19</v>
      </c>
    </row>
    <row r="113" spans="1:18">
      <c r="A113" s="2">
        <v>46138</v>
      </c>
      <c r="B113" s="14">
        <f t="shared" si="6"/>
        <v>4</v>
      </c>
      <c r="C113" s="15" t="str">
        <f t="shared" si="9"/>
        <v>abr</v>
      </c>
      <c r="D113">
        <v>10112</v>
      </c>
      <c r="E113" t="s">
        <v>44</v>
      </c>
      <c r="F113" t="s">
        <v>27</v>
      </c>
      <c r="G113" t="s">
        <v>40</v>
      </c>
      <c r="H113" t="s">
        <v>41</v>
      </c>
      <c r="I113" t="s">
        <v>17</v>
      </c>
      <c r="J113" s="4" t="s">
        <v>18</v>
      </c>
      <c r="K113" s="4">
        <v>1</v>
      </c>
      <c r="L113" s="3">
        <v>1250</v>
      </c>
      <c r="M113" s="5">
        <v>0.08</v>
      </c>
      <c r="N113" s="3">
        <f t="shared" si="7"/>
        <v>1150</v>
      </c>
      <c r="O113" s="3">
        <v>780</v>
      </c>
      <c r="P113" s="3">
        <f t="shared" si="8"/>
        <v>370</v>
      </c>
      <c r="Q113" s="6">
        <v>0.32173913043478258</v>
      </c>
      <c r="R113" t="s">
        <v>35</v>
      </c>
    </row>
    <row r="114" spans="1:18">
      <c r="A114" s="2">
        <v>46156</v>
      </c>
      <c r="B114" s="14">
        <f t="shared" si="6"/>
        <v>5</v>
      </c>
      <c r="C114" s="15" t="str">
        <f t="shared" si="9"/>
        <v>mai</v>
      </c>
      <c r="D114">
        <v>10113</v>
      </c>
      <c r="E114" t="s">
        <v>52</v>
      </c>
      <c r="F114" t="s">
        <v>21</v>
      </c>
      <c r="G114" t="s">
        <v>33</v>
      </c>
      <c r="H114" t="s">
        <v>34</v>
      </c>
      <c r="I114" t="s">
        <v>36</v>
      </c>
      <c r="J114" s="4" t="s">
        <v>45</v>
      </c>
      <c r="K114" s="4">
        <v>4</v>
      </c>
      <c r="L114" s="3">
        <v>420</v>
      </c>
      <c r="M114" s="5">
        <v>0</v>
      </c>
      <c r="N114" s="3">
        <f t="shared" si="7"/>
        <v>1680</v>
      </c>
      <c r="O114" s="3">
        <v>1000</v>
      </c>
      <c r="P114" s="3">
        <f t="shared" si="8"/>
        <v>680</v>
      </c>
      <c r="Q114" s="6">
        <v>0.40476190476190482</v>
      </c>
      <c r="R114" t="s">
        <v>35</v>
      </c>
    </row>
    <row r="115" spans="1:18">
      <c r="A115" s="2">
        <v>46182</v>
      </c>
      <c r="B115" s="14">
        <f t="shared" si="6"/>
        <v>6</v>
      </c>
      <c r="C115" s="15" t="str">
        <f t="shared" si="9"/>
        <v>jun</v>
      </c>
      <c r="D115">
        <v>10114</v>
      </c>
      <c r="E115" t="s">
        <v>61</v>
      </c>
      <c r="F115" t="s">
        <v>59</v>
      </c>
      <c r="G115" t="s">
        <v>40</v>
      </c>
      <c r="H115" t="s">
        <v>41</v>
      </c>
      <c r="I115" t="s">
        <v>17</v>
      </c>
      <c r="J115" s="4" t="s">
        <v>42</v>
      </c>
      <c r="K115" s="4">
        <v>5</v>
      </c>
      <c r="L115" s="3">
        <v>1250</v>
      </c>
      <c r="M115" s="5">
        <v>0.1</v>
      </c>
      <c r="N115" s="3">
        <f t="shared" si="7"/>
        <v>6125</v>
      </c>
      <c r="O115" s="3">
        <v>3900</v>
      </c>
      <c r="P115" s="3">
        <f t="shared" si="8"/>
        <v>2225</v>
      </c>
      <c r="Q115" s="6">
        <v>0.30666666666666659</v>
      </c>
      <c r="R115" t="s">
        <v>25</v>
      </c>
    </row>
    <row r="116" spans="1:18">
      <c r="A116" s="2">
        <v>46231</v>
      </c>
      <c r="B116" s="14">
        <f t="shared" si="6"/>
        <v>7</v>
      </c>
      <c r="C116" s="15" t="str">
        <f t="shared" si="9"/>
        <v>jul</v>
      </c>
      <c r="D116">
        <v>10115</v>
      </c>
      <c r="E116" t="s">
        <v>47</v>
      </c>
      <c r="F116" t="s">
        <v>39</v>
      </c>
      <c r="G116" t="s">
        <v>43</v>
      </c>
      <c r="H116" t="s">
        <v>41</v>
      </c>
      <c r="I116" t="s">
        <v>36</v>
      </c>
      <c r="J116" s="4" t="s">
        <v>37</v>
      </c>
      <c r="K116" s="4">
        <v>6</v>
      </c>
      <c r="L116" s="3">
        <v>1450</v>
      </c>
      <c r="M116" s="5">
        <v>0</v>
      </c>
      <c r="N116" s="3">
        <f t="shared" si="7"/>
        <v>8700</v>
      </c>
      <c r="O116" s="3">
        <v>5400</v>
      </c>
      <c r="P116" s="3">
        <f t="shared" si="8"/>
        <v>3300</v>
      </c>
      <c r="Q116" s="6">
        <v>0.37931034482758619</v>
      </c>
      <c r="R116" t="s">
        <v>19</v>
      </c>
    </row>
    <row r="117" spans="1:18">
      <c r="A117" s="2">
        <v>46246</v>
      </c>
      <c r="B117" s="14">
        <f t="shared" si="6"/>
        <v>8</v>
      </c>
      <c r="C117" s="15" t="str">
        <f t="shared" si="9"/>
        <v>ago</v>
      </c>
      <c r="D117">
        <v>10116</v>
      </c>
      <c r="E117" t="s">
        <v>61</v>
      </c>
      <c r="F117" t="s">
        <v>14</v>
      </c>
      <c r="G117" t="s">
        <v>48</v>
      </c>
      <c r="H117" t="s">
        <v>49</v>
      </c>
      <c r="I117" t="s">
        <v>36</v>
      </c>
      <c r="J117" s="4" t="s">
        <v>37</v>
      </c>
      <c r="K117" s="4">
        <v>7</v>
      </c>
      <c r="L117" s="3">
        <v>2600</v>
      </c>
      <c r="M117" s="5">
        <v>0.1</v>
      </c>
      <c r="N117" s="3">
        <f t="shared" si="7"/>
        <v>17940</v>
      </c>
      <c r="O117" s="3">
        <v>12600</v>
      </c>
      <c r="P117" s="3">
        <f t="shared" si="8"/>
        <v>5340</v>
      </c>
      <c r="Q117" s="6">
        <v>0.23076923076923081</v>
      </c>
      <c r="R117" t="s">
        <v>19</v>
      </c>
    </row>
    <row r="118" spans="1:18">
      <c r="A118" s="2">
        <v>46285</v>
      </c>
      <c r="B118" s="14">
        <f t="shared" si="6"/>
        <v>9</v>
      </c>
      <c r="C118" s="15" t="str">
        <f t="shared" si="9"/>
        <v>set</v>
      </c>
      <c r="D118">
        <v>10117</v>
      </c>
      <c r="E118" t="s">
        <v>26</v>
      </c>
      <c r="F118" t="s">
        <v>59</v>
      </c>
      <c r="G118" t="s">
        <v>38</v>
      </c>
      <c r="H118" t="s">
        <v>34</v>
      </c>
      <c r="I118" t="s">
        <v>17</v>
      </c>
      <c r="J118" s="4" t="s">
        <v>42</v>
      </c>
      <c r="K118" s="4">
        <v>2</v>
      </c>
      <c r="L118" s="3">
        <v>180</v>
      </c>
      <c r="M118" s="5">
        <v>0.1</v>
      </c>
      <c r="N118" s="3">
        <f t="shared" si="7"/>
        <v>342</v>
      </c>
      <c r="O118" s="3">
        <v>190</v>
      </c>
      <c r="P118" s="3">
        <f t="shared" si="8"/>
        <v>152</v>
      </c>
      <c r="Q118" s="6">
        <v>0.41358024691358031</v>
      </c>
      <c r="R118" t="s">
        <v>25</v>
      </c>
    </row>
    <row r="119" spans="1:18">
      <c r="A119" s="2">
        <v>46024</v>
      </c>
      <c r="B119" s="14">
        <f t="shared" si="6"/>
        <v>1</v>
      </c>
      <c r="C119" s="15" t="str">
        <f t="shared" si="9"/>
        <v>jan</v>
      </c>
      <c r="D119">
        <v>10118</v>
      </c>
      <c r="E119" t="s">
        <v>20</v>
      </c>
      <c r="F119" t="s">
        <v>14</v>
      </c>
      <c r="G119" t="s">
        <v>48</v>
      </c>
      <c r="H119" t="s">
        <v>49</v>
      </c>
      <c r="I119" t="s">
        <v>50</v>
      </c>
      <c r="J119" s="4" t="s">
        <v>51</v>
      </c>
      <c r="K119" s="4">
        <v>8</v>
      </c>
      <c r="L119" s="3">
        <v>2600</v>
      </c>
      <c r="M119" s="5">
        <v>0</v>
      </c>
      <c r="N119" s="3">
        <f t="shared" si="7"/>
        <v>20800</v>
      </c>
      <c r="O119" s="3">
        <v>14400</v>
      </c>
      <c r="P119" s="3">
        <f t="shared" si="8"/>
        <v>6400</v>
      </c>
      <c r="Q119" s="6">
        <v>0.30769230769230771</v>
      </c>
      <c r="R119" t="s">
        <v>31</v>
      </c>
    </row>
    <row r="120" spans="1:18">
      <c r="A120" s="2">
        <v>46075</v>
      </c>
      <c r="B120" s="14">
        <f t="shared" si="6"/>
        <v>2</v>
      </c>
      <c r="C120" s="15" t="str">
        <f t="shared" si="9"/>
        <v>fev</v>
      </c>
      <c r="D120">
        <v>10119</v>
      </c>
      <c r="E120" t="s">
        <v>44</v>
      </c>
      <c r="F120" t="s">
        <v>59</v>
      </c>
      <c r="G120" t="s">
        <v>28</v>
      </c>
      <c r="H120" t="s">
        <v>29</v>
      </c>
      <c r="I120" t="s">
        <v>17</v>
      </c>
      <c r="J120" s="4" t="s">
        <v>18</v>
      </c>
      <c r="K120" s="4">
        <v>7</v>
      </c>
      <c r="L120" s="3">
        <v>650</v>
      </c>
      <c r="M120" s="5">
        <v>0.08</v>
      </c>
      <c r="N120" s="3">
        <f t="shared" si="7"/>
        <v>4498</v>
      </c>
      <c r="O120" s="3">
        <v>1750</v>
      </c>
      <c r="P120" s="3">
        <f t="shared" si="8"/>
        <v>2748</v>
      </c>
      <c r="Q120" s="6">
        <v>0.58193979933110362</v>
      </c>
      <c r="R120" t="s">
        <v>31</v>
      </c>
    </row>
    <row r="121" spans="1:18">
      <c r="A121" s="2">
        <v>46095</v>
      </c>
      <c r="B121" s="14">
        <f t="shared" si="6"/>
        <v>3</v>
      </c>
      <c r="C121" s="15" t="str">
        <f t="shared" si="9"/>
        <v>mar</v>
      </c>
      <c r="D121">
        <v>10120</v>
      </c>
      <c r="E121" t="s">
        <v>57</v>
      </c>
      <c r="F121" t="s">
        <v>59</v>
      </c>
      <c r="G121" t="s">
        <v>48</v>
      </c>
      <c r="H121" t="s">
        <v>49</v>
      </c>
      <c r="I121" t="s">
        <v>23</v>
      </c>
      <c r="J121" s="4" t="s">
        <v>56</v>
      </c>
      <c r="K121" s="4">
        <v>1</v>
      </c>
      <c r="L121" s="3">
        <v>2600</v>
      </c>
      <c r="M121" s="5">
        <v>0.1</v>
      </c>
      <c r="N121" s="3">
        <f t="shared" si="7"/>
        <v>2340</v>
      </c>
      <c r="O121" s="3">
        <v>1800</v>
      </c>
      <c r="P121" s="3">
        <f t="shared" si="8"/>
        <v>540</v>
      </c>
      <c r="Q121" s="6">
        <v>0.23076923076923081</v>
      </c>
      <c r="R121" t="s">
        <v>35</v>
      </c>
    </row>
    <row r="122" spans="1:18">
      <c r="A122" s="2">
        <v>46134</v>
      </c>
      <c r="B122" s="14">
        <f t="shared" si="6"/>
        <v>4</v>
      </c>
      <c r="C122" s="15" t="str">
        <f t="shared" si="9"/>
        <v>abr</v>
      </c>
      <c r="D122">
        <v>10121</v>
      </c>
      <c r="E122" t="s">
        <v>13</v>
      </c>
      <c r="F122" t="s">
        <v>27</v>
      </c>
      <c r="G122" t="s">
        <v>60</v>
      </c>
      <c r="H122" t="s">
        <v>49</v>
      </c>
      <c r="I122" t="s">
        <v>36</v>
      </c>
      <c r="J122" s="4" t="s">
        <v>45</v>
      </c>
      <c r="K122" s="4">
        <v>6</v>
      </c>
      <c r="L122" s="3">
        <v>3200</v>
      </c>
      <c r="M122" s="5">
        <v>0</v>
      </c>
      <c r="N122" s="3">
        <f t="shared" si="7"/>
        <v>19200</v>
      </c>
      <c r="O122" s="3">
        <v>13500</v>
      </c>
      <c r="P122" s="3">
        <f t="shared" si="8"/>
        <v>5700</v>
      </c>
      <c r="Q122" s="6">
        <v>0.296875</v>
      </c>
      <c r="R122" t="s">
        <v>19</v>
      </c>
    </row>
    <row r="123" spans="1:18">
      <c r="A123" s="2">
        <v>46163</v>
      </c>
      <c r="B123" s="14">
        <f t="shared" si="6"/>
        <v>5</v>
      </c>
      <c r="C123" s="15" t="str">
        <f t="shared" si="9"/>
        <v>mai</v>
      </c>
      <c r="D123">
        <v>10122</v>
      </c>
      <c r="E123" t="s">
        <v>13</v>
      </c>
      <c r="F123" t="s">
        <v>14</v>
      </c>
      <c r="G123" t="s">
        <v>58</v>
      </c>
      <c r="H123" t="s">
        <v>29</v>
      </c>
      <c r="I123" t="s">
        <v>53</v>
      </c>
      <c r="J123" s="4" t="s">
        <v>54</v>
      </c>
      <c r="K123" s="4">
        <v>1</v>
      </c>
      <c r="L123" s="3">
        <v>350</v>
      </c>
      <c r="M123" s="5">
        <v>0</v>
      </c>
      <c r="N123" s="3">
        <f t="shared" si="7"/>
        <v>350</v>
      </c>
      <c r="O123" s="3">
        <v>120</v>
      </c>
      <c r="P123" s="3">
        <f t="shared" si="8"/>
        <v>230</v>
      </c>
      <c r="Q123" s="6">
        <v>0.65714285714285714</v>
      </c>
      <c r="R123" t="s">
        <v>25</v>
      </c>
    </row>
    <row r="124" spans="1:18">
      <c r="A124" s="2">
        <v>46200</v>
      </c>
      <c r="B124" s="14">
        <f t="shared" si="6"/>
        <v>6</v>
      </c>
      <c r="C124" s="15" t="str">
        <f t="shared" si="9"/>
        <v>jun</v>
      </c>
      <c r="D124">
        <v>10123</v>
      </c>
      <c r="E124" t="s">
        <v>13</v>
      </c>
      <c r="F124" t="s">
        <v>39</v>
      </c>
      <c r="G124" t="s">
        <v>28</v>
      </c>
      <c r="H124" t="s">
        <v>29</v>
      </c>
      <c r="I124" t="s">
        <v>23</v>
      </c>
      <c r="J124" s="4" t="s">
        <v>30</v>
      </c>
      <c r="K124" s="4">
        <v>4</v>
      </c>
      <c r="L124" s="3">
        <v>650</v>
      </c>
      <c r="M124" s="5">
        <v>0.08</v>
      </c>
      <c r="N124" s="3">
        <f t="shared" si="7"/>
        <v>2548</v>
      </c>
      <c r="O124" s="3">
        <v>1000</v>
      </c>
      <c r="P124" s="3">
        <f t="shared" si="8"/>
        <v>1548</v>
      </c>
      <c r="Q124" s="6">
        <v>0.58193979933110362</v>
      </c>
      <c r="R124" t="s">
        <v>19</v>
      </c>
    </row>
    <row r="125" spans="1:18">
      <c r="A125" s="2">
        <v>46231</v>
      </c>
      <c r="B125" s="14">
        <f t="shared" si="6"/>
        <v>7</v>
      </c>
      <c r="C125" s="15" t="str">
        <f t="shared" si="9"/>
        <v>jul</v>
      </c>
      <c r="D125">
        <v>10124</v>
      </c>
      <c r="E125" t="s">
        <v>44</v>
      </c>
      <c r="F125" t="s">
        <v>27</v>
      </c>
      <c r="G125" t="s">
        <v>33</v>
      </c>
      <c r="H125" t="s">
        <v>34</v>
      </c>
      <c r="I125" t="s">
        <v>23</v>
      </c>
      <c r="J125" s="4" t="s">
        <v>56</v>
      </c>
      <c r="K125" s="4">
        <v>3</v>
      </c>
      <c r="L125" s="3">
        <v>420</v>
      </c>
      <c r="M125" s="5">
        <v>0.08</v>
      </c>
      <c r="N125" s="3">
        <f t="shared" si="7"/>
        <v>1226.4000000000001</v>
      </c>
      <c r="O125" s="3">
        <v>750</v>
      </c>
      <c r="P125" s="3">
        <f t="shared" si="8"/>
        <v>476.40000000000009</v>
      </c>
      <c r="Q125" s="6">
        <v>0.35300207039337478</v>
      </c>
      <c r="R125" t="s">
        <v>25</v>
      </c>
    </row>
    <row r="126" spans="1:18">
      <c r="A126" s="2">
        <v>46246</v>
      </c>
      <c r="B126" s="14">
        <f t="shared" si="6"/>
        <v>8</v>
      </c>
      <c r="C126" s="15" t="str">
        <f t="shared" si="9"/>
        <v>ago</v>
      </c>
      <c r="D126">
        <v>10125</v>
      </c>
      <c r="E126" t="s">
        <v>47</v>
      </c>
      <c r="F126" t="s">
        <v>14</v>
      </c>
      <c r="G126" t="s">
        <v>38</v>
      </c>
      <c r="H126" t="s">
        <v>34</v>
      </c>
      <c r="I126" t="s">
        <v>50</v>
      </c>
      <c r="J126" s="4" t="s">
        <v>51</v>
      </c>
      <c r="K126" s="4">
        <v>6</v>
      </c>
      <c r="L126" s="3">
        <v>180</v>
      </c>
      <c r="M126" s="5">
        <v>0</v>
      </c>
      <c r="N126" s="3">
        <f t="shared" si="7"/>
        <v>1080</v>
      </c>
      <c r="O126" s="3">
        <v>570</v>
      </c>
      <c r="P126" s="3">
        <f t="shared" si="8"/>
        <v>510</v>
      </c>
      <c r="Q126" s="6">
        <v>0.47222222222222221</v>
      </c>
      <c r="R126" t="s">
        <v>19</v>
      </c>
    </row>
    <row r="127" spans="1:18">
      <c r="A127" s="2">
        <v>46281</v>
      </c>
      <c r="B127" s="14">
        <f t="shared" si="6"/>
        <v>9</v>
      </c>
      <c r="C127" s="15" t="str">
        <f t="shared" si="9"/>
        <v>set</v>
      </c>
      <c r="D127">
        <v>10126</v>
      </c>
      <c r="E127" t="s">
        <v>57</v>
      </c>
      <c r="F127" t="s">
        <v>21</v>
      </c>
      <c r="G127" t="s">
        <v>40</v>
      </c>
      <c r="H127" t="s">
        <v>41</v>
      </c>
      <c r="I127" t="s">
        <v>23</v>
      </c>
      <c r="J127" s="4" t="s">
        <v>24</v>
      </c>
      <c r="K127" s="4">
        <v>6</v>
      </c>
      <c r="L127" s="3">
        <v>1250</v>
      </c>
      <c r="M127" s="5">
        <v>0.08</v>
      </c>
      <c r="N127" s="3">
        <f t="shared" si="7"/>
        <v>7400</v>
      </c>
      <c r="O127" s="3">
        <v>4680</v>
      </c>
      <c r="P127" s="3">
        <f t="shared" si="8"/>
        <v>2720</v>
      </c>
      <c r="Q127" s="6">
        <v>0.32173913043478258</v>
      </c>
      <c r="R127" t="s">
        <v>19</v>
      </c>
    </row>
    <row r="128" spans="1:18">
      <c r="A128" s="2">
        <v>46048</v>
      </c>
      <c r="B128" s="14">
        <f t="shared" si="6"/>
        <v>1</v>
      </c>
      <c r="C128" s="15" t="str">
        <f t="shared" si="9"/>
        <v>jan</v>
      </c>
      <c r="D128">
        <v>10127</v>
      </c>
      <c r="E128" t="s">
        <v>47</v>
      </c>
      <c r="F128" t="s">
        <v>27</v>
      </c>
      <c r="G128" t="s">
        <v>28</v>
      </c>
      <c r="H128" t="s">
        <v>29</v>
      </c>
      <c r="I128" t="s">
        <v>36</v>
      </c>
      <c r="J128" s="4" t="s">
        <v>37</v>
      </c>
      <c r="K128" s="4">
        <v>5</v>
      </c>
      <c r="L128" s="3">
        <v>650</v>
      </c>
      <c r="M128" s="5">
        <v>0.05</v>
      </c>
      <c r="N128" s="3">
        <f t="shared" si="7"/>
        <v>3217.5</v>
      </c>
      <c r="O128" s="3">
        <v>1250</v>
      </c>
      <c r="P128" s="3">
        <f t="shared" si="8"/>
        <v>1967.5</v>
      </c>
      <c r="Q128" s="6">
        <v>0.59514170040485825</v>
      </c>
      <c r="R128" t="s">
        <v>31</v>
      </c>
    </row>
    <row r="129" spans="1:18">
      <c r="A129" s="2">
        <v>46075</v>
      </c>
      <c r="B129" s="14">
        <f t="shared" si="6"/>
        <v>2</v>
      </c>
      <c r="C129" s="15" t="str">
        <f t="shared" si="9"/>
        <v>fev</v>
      </c>
      <c r="D129">
        <v>10128</v>
      </c>
      <c r="E129" t="s">
        <v>61</v>
      </c>
      <c r="F129" t="s">
        <v>27</v>
      </c>
      <c r="G129" t="s">
        <v>15</v>
      </c>
      <c r="H129" t="s">
        <v>16</v>
      </c>
      <c r="I129" t="s">
        <v>17</v>
      </c>
      <c r="J129" s="4" t="s">
        <v>42</v>
      </c>
      <c r="K129" s="4">
        <v>8</v>
      </c>
      <c r="L129" s="3">
        <v>1150</v>
      </c>
      <c r="M129" s="5">
        <v>0.1</v>
      </c>
      <c r="N129" s="3">
        <f t="shared" si="7"/>
        <v>9085</v>
      </c>
      <c r="O129" s="3">
        <v>6080</v>
      </c>
      <c r="P129" s="3">
        <f t="shared" si="8"/>
        <v>3005</v>
      </c>
      <c r="Q129" s="6">
        <v>0.26570048309178751</v>
      </c>
      <c r="R129" t="s">
        <v>25</v>
      </c>
    </row>
    <row r="130" spans="1:18">
      <c r="A130" s="2">
        <v>46086</v>
      </c>
      <c r="B130" s="14">
        <f t="shared" si="6"/>
        <v>3</v>
      </c>
      <c r="C130" s="15" t="str">
        <f t="shared" si="9"/>
        <v>mar</v>
      </c>
      <c r="D130">
        <v>10129</v>
      </c>
      <c r="E130" t="s">
        <v>20</v>
      </c>
      <c r="F130" t="s">
        <v>39</v>
      </c>
      <c r="G130" t="s">
        <v>48</v>
      </c>
      <c r="H130" t="s">
        <v>49</v>
      </c>
      <c r="I130" t="s">
        <v>36</v>
      </c>
      <c r="J130" s="4" t="s">
        <v>45</v>
      </c>
      <c r="K130" s="4">
        <v>6</v>
      </c>
      <c r="L130" s="3">
        <v>2600</v>
      </c>
      <c r="M130" s="5">
        <v>0.05</v>
      </c>
      <c r="N130" s="3">
        <f t="shared" si="7"/>
        <v>15470</v>
      </c>
      <c r="O130" s="3">
        <v>10800</v>
      </c>
      <c r="P130" s="3">
        <f t="shared" si="8"/>
        <v>4670</v>
      </c>
      <c r="Q130" s="6">
        <v>0</v>
      </c>
      <c r="R130" t="s">
        <v>31</v>
      </c>
    </row>
    <row r="131" spans="1:18">
      <c r="A131" s="2">
        <v>46138</v>
      </c>
      <c r="B131" s="14">
        <f t="shared" ref="B131:B151" si="10">MONTH(A131)</f>
        <v>4</v>
      </c>
      <c r="C131" s="15" t="str">
        <f t="shared" si="9"/>
        <v>abr</v>
      </c>
      <c r="D131">
        <v>10130</v>
      </c>
      <c r="E131" t="s">
        <v>13</v>
      </c>
      <c r="F131" t="s">
        <v>59</v>
      </c>
      <c r="G131" t="s">
        <v>15</v>
      </c>
      <c r="H131" t="s">
        <v>16</v>
      </c>
      <c r="I131" t="s">
        <v>17</v>
      </c>
      <c r="J131" s="4" t="s">
        <v>46</v>
      </c>
      <c r="K131" s="4">
        <v>4</v>
      </c>
      <c r="L131" s="3">
        <v>1150</v>
      </c>
      <c r="M131" s="5">
        <v>0.05</v>
      </c>
      <c r="N131" s="3">
        <f t="shared" ref="N131:N151" si="11">(L131*K131)-(L131*M131)</f>
        <v>4542.5</v>
      </c>
      <c r="O131" s="3">
        <v>3040</v>
      </c>
      <c r="P131" s="3">
        <f t="shared" ref="P131:P151" si="12">N131-O131</f>
        <v>1502.5</v>
      </c>
      <c r="Q131" s="6">
        <v>0.30434782608695649</v>
      </c>
      <c r="R131" t="s">
        <v>31</v>
      </c>
    </row>
    <row r="132" spans="1:18">
      <c r="A132" s="2">
        <v>46156</v>
      </c>
      <c r="B132" s="14">
        <f t="shared" si="10"/>
        <v>5</v>
      </c>
      <c r="C132" s="15" t="str">
        <f t="shared" ref="C132:C151" si="13">TEXT(DATE(2026, B132, 1), "MMM")</f>
        <v>mai</v>
      </c>
      <c r="D132">
        <v>10131</v>
      </c>
      <c r="E132" t="s">
        <v>26</v>
      </c>
      <c r="F132" t="s">
        <v>39</v>
      </c>
      <c r="G132" t="s">
        <v>15</v>
      </c>
      <c r="H132" t="s">
        <v>16</v>
      </c>
      <c r="I132" t="s">
        <v>23</v>
      </c>
      <c r="J132" s="4" t="s">
        <v>56</v>
      </c>
      <c r="K132" s="4">
        <v>6</v>
      </c>
      <c r="L132" s="3">
        <v>1150</v>
      </c>
      <c r="M132" s="5">
        <v>0.05</v>
      </c>
      <c r="N132" s="3">
        <f t="shared" si="11"/>
        <v>6842.5</v>
      </c>
      <c r="O132" s="3">
        <v>4560</v>
      </c>
      <c r="P132" s="3">
        <f t="shared" si="12"/>
        <v>2282.5</v>
      </c>
      <c r="Q132" s="6">
        <v>0.30434782608695649</v>
      </c>
      <c r="R132" t="s">
        <v>31</v>
      </c>
    </row>
    <row r="133" spans="1:18">
      <c r="A133" s="2">
        <v>46176</v>
      </c>
      <c r="B133" s="14">
        <f t="shared" si="10"/>
        <v>6</v>
      </c>
      <c r="C133" s="15" t="str">
        <f t="shared" si="13"/>
        <v>jun</v>
      </c>
      <c r="D133">
        <v>10132</v>
      </c>
      <c r="E133" t="s">
        <v>52</v>
      </c>
      <c r="F133" t="s">
        <v>14</v>
      </c>
      <c r="G133" t="s">
        <v>15</v>
      </c>
      <c r="H133" t="s">
        <v>16</v>
      </c>
      <c r="I133" t="s">
        <v>36</v>
      </c>
      <c r="J133" s="4" t="s">
        <v>37</v>
      </c>
      <c r="K133" s="4">
        <v>2</v>
      </c>
      <c r="L133" s="3">
        <v>1150</v>
      </c>
      <c r="M133" s="5">
        <v>0.05</v>
      </c>
      <c r="N133" s="3">
        <f t="shared" si="11"/>
        <v>2242.5</v>
      </c>
      <c r="O133" s="3">
        <v>1520</v>
      </c>
      <c r="P133" s="3">
        <f t="shared" si="12"/>
        <v>722.5</v>
      </c>
      <c r="Q133" s="6">
        <v>0.30434782608695649</v>
      </c>
      <c r="R133" t="s">
        <v>19</v>
      </c>
    </row>
    <row r="134" spans="1:18">
      <c r="A134" s="2">
        <v>46225</v>
      </c>
      <c r="B134" s="14">
        <f t="shared" si="10"/>
        <v>7</v>
      </c>
      <c r="C134" s="15" t="str">
        <f t="shared" si="13"/>
        <v>jul</v>
      </c>
      <c r="D134">
        <v>10133</v>
      </c>
      <c r="E134" t="s">
        <v>32</v>
      </c>
      <c r="F134" t="s">
        <v>27</v>
      </c>
      <c r="G134" t="s">
        <v>15</v>
      </c>
      <c r="H134" t="s">
        <v>16</v>
      </c>
      <c r="I134" t="s">
        <v>17</v>
      </c>
      <c r="J134" s="4" t="s">
        <v>46</v>
      </c>
      <c r="K134" s="4">
        <v>7</v>
      </c>
      <c r="L134" s="3">
        <v>1150</v>
      </c>
      <c r="M134" s="5">
        <v>0.02</v>
      </c>
      <c r="N134" s="3">
        <f t="shared" si="11"/>
        <v>8027</v>
      </c>
      <c r="O134" s="3">
        <v>5320</v>
      </c>
      <c r="P134" s="3">
        <f t="shared" si="12"/>
        <v>2707</v>
      </c>
      <c r="Q134" s="6">
        <v>0.32564330079858028</v>
      </c>
      <c r="R134" t="s">
        <v>35</v>
      </c>
    </row>
    <row r="135" spans="1:18">
      <c r="A135" s="2">
        <v>46238</v>
      </c>
      <c r="B135" s="14">
        <f t="shared" si="10"/>
        <v>8</v>
      </c>
      <c r="C135" s="15" t="str">
        <f t="shared" si="13"/>
        <v>ago</v>
      </c>
      <c r="D135">
        <v>10134</v>
      </c>
      <c r="E135" t="s">
        <v>13</v>
      </c>
      <c r="F135" t="s">
        <v>27</v>
      </c>
      <c r="G135" t="s">
        <v>58</v>
      </c>
      <c r="H135" t="s">
        <v>29</v>
      </c>
      <c r="I135" t="s">
        <v>17</v>
      </c>
      <c r="J135" s="4" t="s">
        <v>42</v>
      </c>
      <c r="K135" s="4">
        <v>4</v>
      </c>
      <c r="L135" s="3">
        <v>350</v>
      </c>
      <c r="M135" s="5">
        <v>0</v>
      </c>
      <c r="N135" s="3">
        <f t="shared" si="11"/>
        <v>1400</v>
      </c>
      <c r="O135" s="3">
        <v>480</v>
      </c>
      <c r="P135" s="3">
        <f t="shared" si="12"/>
        <v>920</v>
      </c>
      <c r="Q135" s="6">
        <v>0.65714285714285714</v>
      </c>
      <c r="R135" t="s">
        <v>35</v>
      </c>
    </row>
    <row r="136" spans="1:18">
      <c r="A136" s="2">
        <v>46290</v>
      </c>
      <c r="B136" s="14">
        <f t="shared" si="10"/>
        <v>9</v>
      </c>
      <c r="C136" s="15" t="str">
        <f t="shared" si="13"/>
        <v>set</v>
      </c>
      <c r="D136">
        <v>10135</v>
      </c>
      <c r="E136" t="s">
        <v>55</v>
      </c>
      <c r="F136" t="s">
        <v>21</v>
      </c>
      <c r="G136" t="s">
        <v>48</v>
      </c>
      <c r="H136" t="s">
        <v>49</v>
      </c>
      <c r="I136" t="s">
        <v>36</v>
      </c>
      <c r="J136" s="4" t="s">
        <v>37</v>
      </c>
      <c r="K136" s="4">
        <v>4</v>
      </c>
      <c r="L136" s="3">
        <v>2600</v>
      </c>
      <c r="M136" s="5">
        <v>0.05</v>
      </c>
      <c r="N136" s="3">
        <f t="shared" si="11"/>
        <v>10270</v>
      </c>
      <c r="O136" s="3">
        <v>7200</v>
      </c>
      <c r="P136" s="3">
        <f t="shared" si="12"/>
        <v>3070</v>
      </c>
      <c r="Q136" s="6">
        <v>0.27125506072874489</v>
      </c>
      <c r="R136" t="s">
        <v>19</v>
      </c>
    </row>
    <row r="137" spans="1:18">
      <c r="A137" s="2">
        <v>46023</v>
      </c>
      <c r="B137" s="14">
        <f t="shared" si="10"/>
        <v>1</v>
      </c>
      <c r="C137" s="15" t="str">
        <f t="shared" si="13"/>
        <v>jan</v>
      </c>
      <c r="D137">
        <v>10136</v>
      </c>
      <c r="E137" t="s">
        <v>52</v>
      </c>
      <c r="F137" t="s">
        <v>39</v>
      </c>
      <c r="G137" t="s">
        <v>33</v>
      </c>
      <c r="H137" t="s">
        <v>34</v>
      </c>
      <c r="I137" t="s">
        <v>23</v>
      </c>
      <c r="J137" s="4" t="s">
        <v>56</v>
      </c>
      <c r="K137" s="4">
        <v>5</v>
      </c>
      <c r="L137" s="3">
        <v>420</v>
      </c>
      <c r="M137" s="5">
        <v>0.1</v>
      </c>
      <c r="N137" s="3">
        <f t="shared" si="11"/>
        <v>2058</v>
      </c>
      <c r="O137" s="3">
        <v>1250</v>
      </c>
      <c r="P137" s="3">
        <f t="shared" si="12"/>
        <v>808</v>
      </c>
      <c r="Q137" s="6">
        <v>0.33862433862433861</v>
      </c>
      <c r="R137" t="s">
        <v>25</v>
      </c>
    </row>
    <row r="138" spans="1:18">
      <c r="A138" s="2">
        <v>46072</v>
      </c>
      <c r="B138" s="14">
        <f t="shared" si="10"/>
        <v>2</v>
      </c>
      <c r="C138" s="15" t="str">
        <f t="shared" si="13"/>
        <v>fev</v>
      </c>
      <c r="D138">
        <v>10137</v>
      </c>
      <c r="E138" t="s">
        <v>47</v>
      </c>
      <c r="F138" t="s">
        <v>27</v>
      </c>
      <c r="G138" t="s">
        <v>43</v>
      </c>
      <c r="H138" t="s">
        <v>41</v>
      </c>
      <c r="I138" t="s">
        <v>36</v>
      </c>
      <c r="J138" s="4" t="s">
        <v>37</v>
      </c>
      <c r="K138" s="4">
        <v>2</v>
      </c>
      <c r="L138" s="3">
        <v>1450</v>
      </c>
      <c r="M138" s="5">
        <v>0</v>
      </c>
      <c r="N138" s="3">
        <f t="shared" si="11"/>
        <v>2900</v>
      </c>
      <c r="O138" s="3">
        <v>1800</v>
      </c>
      <c r="P138" s="3">
        <f t="shared" si="12"/>
        <v>1100</v>
      </c>
      <c r="Q138" s="6">
        <v>0.37931034482758619</v>
      </c>
      <c r="R138" t="s">
        <v>25</v>
      </c>
    </row>
    <row r="139" spans="1:18">
      <c r="A139" s="2">
        <v>46095</v>
      </c>
      <c r="B139" s="14">
        <f t="shared" si="10"/>
        <v>3</v>
      </c>
      <c r="C139" s="15" t="str">
        <f t="shared" si="13"/>
        <v>mar</v>
      </c>
      <c r="D139">
        <v>10138</v>
      </c>
      <c r="E139" t="s">
        <v>52</v>
      </c>
      <c r="F139" t="s">
        <v>21</v>
      </c>
      <c r="G139" t="s">
        <v>40</v>
      </c>
      <c r="H139" t="s">
        <v>41</v>
      </c>
      <c r="I139" t="s">
        <v>53</v>
      </c>
      <c r="J139" s="4" t="s">
        <v>54</v>
      </c>
      <c r="K139" s="4">
        <v>6</v>
      </c>
      <c r="L139" s="3">
        <v>1250</v>
      </c>
      <c r="M139" s="5">
        <v>0</v>
      </c>
      <c r="N139" s="3">
        <f t="shared" si="11"/>
        <v>7500</v>
      </c>
      <c r="O139" s="3">
        <v>4680</v>
      </c>
      <c r="P139" s="3">
        <f t="shared" si="12"/>
        <v>2820</v>
      </c>
      <c r="Q139" s="6">
        <v>0.376</v>
      </c>
      <c r="R139" t="s">
        <v>19</v>
      </c>
    </row>
    <row r="140" spans="1:18">
      <c r="A140" s="2">
        <v>46117</v>
      </c>
      <c r="B140" s="14">
        <f t="shared" si="10"/>
        <v>4</v>
      </c>
      <c r="C140" s="15" t="str">
        <f t="shared" si="13"/>
        <v>abr</v>
      </c>
      <c r="D140">
        <v>10139</v>
      </c>
      <c r="E140" t="s">
        <v>57</v>
      </c>
      <c r="F140" t="s">
        <v>59</v>
      </c>
      <c r="G140" t="s">
        <v>33</v>
      </c>
      <c r="H140" t="s">
        <v>34</v>
      </c>
      <c r="I140" t="s">
        <v>36</v>
      </c>
      <c r="J140" s="4" t="s">
        <v>37</v>
      </c>
      <c r="K140" s="4">
        <v>1</v>
      </c>
      <c r="L140" s="3">
        <v>420</v>
      </c>
      <c r="M140" s="5">
        <v>0.1</v>
      </c>
      <c r="N140" s="3">
        <f t="shared" si="11"/>
        <v>378</v>
      </c>
      <c r="O140" s="3">
        <v>250</v>
      </c>
      <c r="P140" s="3">
        <f t="shared" si="12"/>
        <v>128</v>
      </c>
      <c r="Q140" s="6">
        <v>0.33862433862433861</v>
      </c>
      <c r="R140" t="s">
        <v>31</v>
      </c>
    </row>
    <row r="141" spans="1:18">
      <c r="A141" s="2">
        <v>46151</v>
      </c>
      <c r="B141" s="14">
        <f t="shared" si="10"/>
        <v>5</v>
      </c>
      <c r="C141" s="15" t="str">
        <f t="shared" si="13"/>
        <v>mai</v>
      </c>
      <c r="D141">
        <v>10140</v>
      </c>
      <c r="E141" t="s">
        <v>26</v>
      </c>
      <c r="F141" t="s">
        <v>21</v>
      </c>
      <c r="G141" t="s">
        <v>38</v>
      </c>
      <c r="H141" t="s">
        <v>34</v>
      </c>
      <c r="I141" t="s">
        <v>36</v>
      </c>
      <c r="J141" s="4" t="s">
        <v>45</v>
      </c>
      <c r="K141" s="4">
        <v>2</v>
      </c>
      <c r="L141" s="3">
        <v>180</v>
      </c>
      <c r="M141" s="5">
        <v>0.02</v>
      </c>
      <c r="N141" s="3">
        <f t="shared" si="11"/>
        <v>356.4</v>
      </c>
      <c r="O141" s="3">
        <v>190</v>
      </c>
      <c r="P141" s="3">
        <f t="shared" si="12"/>
        <v>166.39999999999998</v>
      </c>
      <c r="Q141" s="6">
        <v>0.46145124716553287</v>
      </c>
      <c r="R141" t="s">
        <v>35</v>
      </c>
    </row>
    <row r="142" spans="1:18">
      <c r="A142" s="2">
        <v>46181</v>
      </c>
      <c r="B142" s="14">
        <f t="shared" si="10"/>
        <v>6</v>
      </c>
      <c r="C142" s="15" t="str">
        <f t="shared" si="13"/>
        <v>jun</v>
      </c>
      <c r="D142">
        <v>10141</v>
      </c>
      <c r="E142" t="s">
        <v>13</v>
      </c>
      <c r="F142" t="s">
        <v>14</v>
      </c>
      <c r="G142" t="s">
        <v>43</v>
      </c>
      <c r="H142" t="s">
        <v>41</v>
      </c>
      <c r="I142" t="s">
        <v>17</v>
      </c>
      <c r="J142" s="4" t="s">
        <v>46</v>
      </c>
      <c r="K142" s="4">
        <v>1</v>
      </c>
      <c r="L142" s="3">
        <v>1450</v>
      </c>
      <c r="M142" s="5">
        <v>0</v>
      </c>
      <c r="N142" s="3">
        <f t="shared" si="11"/>
        <v>1450</v>
      </c>
      <c r="O142" s="3">
        <v>900</v>
      </c>
      <c r="P142" s="3">
        <f t="shared" si="12"/>
        <v>550</v>
      </c>
      <c r="Q142" s="6">
        <v>0.37931034482758619</v>
      </c>
      <c r="R142" t="s">
        <v>35</v>
      </c>
    </row>
    <row r="143" spans="1:18">
      <c r="A143" s="2">
        <v>46207</v>
      </c>
      <c r="B143" s="14">
        <f t="shared" si="10"/>
        <v>7</v>
      </c>
      <c r="C143" s="15" t="str">
        <f t="shared" si="13"/>
        <v>jul</v>
      </c>
      <c r="D143">
        <v>10142</v>
      </c>
      <c r="E143" t="s">
        <v>44</v>
      </c>
      <c r="F143" t="s">
        <v>59</v>
      </c>
      <c r="G143" t="s">
        <v>22</v>
      </c>
      <c r="H143" t="s">
        <v>16</v>
      </c>
      <c r="I143" t="s">
        <v>36</v>
      </c>
      <c r="J143" s="4" t="s">
        <v>37</v>
      </c>
      <c r="K143" s="4">
        <v>8</v>
      </c>
      <c r="L143" s="3">
        <v>4200</v>
      </c>
      <c r="M143" s="5">
        <v>0.1</v>
      </c>
      <c r="N143" s="3">
        <f t="shared" si="11"/>
        <v>33180</v>
      </c>
      <c r="O143" s="3">
        <v>24000</v>
      </c>
      <c r="P143" s="3">
        <f t="shared" si="12"/>
        <v>9180</v>
      </c>
      <c r="Q143" s="6">
        <v>0.20634920634920631</v>
      </c>
      <c r="R143" t="s">
        <v>25</v>
      </c>
    </row>
    <row r="144" spans="1:18">
      <c r="A144" s="2">
        <v>46237</v>
      </c>
      <c r="B144" s="14">
        <f t="shared" si="10"/>
        <v>8</v>
      </c>
      <c r="C144" s="15" t="str">
        <f t="shared" si="13"/>
        <v>ago</v>
      </c>
      <c r="D144">
        <v>10143</v>
      </c>
      <c r="E144" t="s">
        <v>61</v>
      </c>
      <c r="F144" t="s">
        <v>39</v>
      </c>
      <c r="G144" t="s">
        <v>43</v>
      </c>
      <c r="H144" t="s">
        <v>41</v>
      </c>
      <c r="I144" t="s">
        <v>53</v>
      </c>
      <c r="J144" s="4" t="s">
        <v>54</v>
      </c>
      <c r="K144" s="4">
        <v>1</v>
      </c>
      <c r="L144" s="3">
        <v>1450</v>
      </c>
      <c r="M144" s="5">
        <v>0.05</v>
      </c>
      <c r="N144" s="3">
        <f t="shared" si="11"/>
        <v>1377.5</v>
      </c>
      <c r="O144" s="3">
        <v>900</v>
      </c>
      <c r="P144" s="3">
        <f t="shared" si="12"/>
        <v>477.5</v>
      </c>
      <c r="Q144" s="6">
        <v>0.34664246823956441</v>
      </c>
      <c r="R144" t="s">
        <v>31</v>
      </c>
    </row>
    <row r="145" spans="1:18">
      <c r="A145" s="2">
        <v>46288</v>
      </c>
      <c r="B145" s="14">
        <f t="shared" si="10"/>
        <v>9</v>
      </c>
      <c r="C145" s="15" t="str">
        <f t="shared" si="13"/>
        <v>set</v>
      </c>
      <c r="D145">
        <v>10144</v>
      </c>
      <c r="E145" t="s">
        <v>52</v>
      </c>
      <c r="F145" t="s">
        <v>14</v>
      </c>
      <c r="G145" t="s">
        <v>43</v>
      </c>
      <c r="H145" t="s">
        <v>41</v>
      </c>
      <c r="I145" t="s">
        <v>53</v>
      </c>
      <c r="J145" s="4" t="s">
        <v>54</v>
      </c>
      <c r="K145" s="4">
        <v>5</v>
      </c>
      <c r="L145" s="3">
        <v>1450</v>
      </c>
      <c r="M145" s="5">
        <v>0</v>
      </c>
      <c r="N145" s="3">
        <f t="shared" si="11"/>
        <v>7250</v>
      </c>
      <c r="O145" s="3">
        <v>4500</v>
      </c>
      <c r="P145" s="3">
        <f t="shared" si="12"/>
        <v>2750</v>
      </c>
      <c r="Q145" s="6">
        <v>0.37931034482758619</v>
      </c>
      <c r="R145" t="s">
        <v>31</v>
      </c>
    </row>
    <row r="146" spans="1:18">
      <c r="A146" s="2">
        <v>46025</v>
      </c>
      <c r="B146" s="14">
        <f t="shared" si="10"/>
        <v>1</v>
      </c>
      <c r="C146" s="15" t="str">
        <f t="shared" si="13"/>
        <v>jan</v>
      </c>
      <c r="D146">
        <v>10145</v>
      </c>
      <c r="E146" t="s">
        <v>32</v>
      </c>
      <c r="F146" t="s">
        <v>21</v>
      </c>
      <c r="G146" t="s">
        <v>43</v>
      </c>
      <c r="H146" t="s">
        <v>41</v>
      </c>
      <c r="I146" t="s">
        <v>17</v>
      </c>
      <c r="J146" s="4" t="s">
        <v>46</v>
      </c>
      <c r="K146" s="4">
        <v>2</v>
      </c>
      <c r="L146" s="3">
        <v>1450</v>
      </c>
      <c r="M146" s="5">
        <v>0</v>
      </c>
      <c r="N146" s="3">
        <f t="shared" si="11"/>
        <v>2900</v>
      </c>
      <c r="O146" s="3">
        <v>1800</v>
      </c>
      <c r="P146" s="3">
        <f t="shared" si="12"/>
        <v>1100</v>
      </c>
      <c r="Q146" s="6">
        <v>0.37931034482758619</v>
      </c>
      <c r="R146" t="s">
        <v>31</v>
      </c>
    </row>
    <row r="147" spans="1:18">
      <c r="A147" s="2">
        <v>46077</v>
      </c>
      <c r="B147" s="14">
        <f t="shared" si="10"/>
        <v>2</v>
      </c>
      <c r="C147" s="15" t="str">
        <f t="shared" si="13"/>
        <v>fev</v>
      </c>
      <c r="D147">
        <v>10146</v>
      </c>
      <c r="E147" t="s">
        <v>61</v>
      </c>
      <c r="F147" t="s">
        <v>21</v>
      </c>
      <c r="G147" t="s">
        <v>60</v>
      </c>
      <c r="H147" t="s">
        <v>49</v>
      </c>
      <c r="I147" t="s">
        <v>17</v>
      </c>
      <c r="J147" s="4" t="s">
        <v>46</v>
      </c>
      <c r="K147" s="4">
        <v>4</v>
      </c>
      <c r="L147" s="3">
        <v>3200</v>
      </c>
      <c r="M147" s="5">
        <v>0.02</v>
      </c>
      <c r="N147" s="3">
        <f t="shared" si="11"/>
        <v>12736</v>
      </c>
      <c r="O147" s="3">
        <v>9000</v>
      </c>
      <c r="P147" s="3">
        <f t="shared" si="12"/>
        <v>3736</v>
      </c>
      <c r="Q147" s="6">
        <v>0.28252551020408162</v>
      </c>
      <c r="R147" t="s">
        <v>25</v>
      </c>
    </row>
    <row r="148" spans="1:18">
      <c r="A148" s="2">
        <v>46093</v>
      </c>
      <c r="B148" s="14">
        <f t="shared" si="10"/>
        <v>3</v>
      </c>
      <c r="C148" s="15" t="str">
        <f t="shared" si="13"/>
        <v>mar</v>
      </c>
      <c r="D148">
        <v>10147</v>
      </c>
      <c r="E148" t="s">
        <v>13</v>
      </c>
      <c r="F148" t="s">
        <v>14</v>
      </c>
      <c r="G148" t="s">
        <v>33</v>
      </c>
      <c r="H148" t="s">
        <v>34</v>
      </c>
      <c r="I148" t="s">
        <v>53</v>
      </c>
      <c r="J148" s="4" t="s">
        <v>54</v>
      </c>
      <c r="K148" s="4">
        <v>4</v>
      </c>
      <c r="L148" s="3">
        <v>420</v>
      </c>
      <c r="M148" s="5">
        <v>0</v>
      </c>
      <c r="N148" s="3">
        <f t="shared" si="11"/>
        <v>1680</v>
      </c>
      <c r="O148" s="3">
        <v>1000</v>
      </c>
      <c r="P148" s="3">
        <f t="shared" si="12"/>
        <v>680</v>
      </c>
      <c r="Q148" s="6">
        <v>0.40476190476190482</v>
      </c>
      <c r="R148" t="s">
        <v>25</v>
      </c>
    </row>
    <row r="149" spans="1:18">
      <c r="A149" s="2">
        <v>46118</v>
      </c>
      <c r="B149" s="14">
        <f t="shared" si="10"/>
        <v>4</v>
      </c>
      <c r="C149" s="15" t="str">
        <f t="shared" si="13"/>
        <v>abr</v>
      </c>
      <c r="D149">
        <v>10148</v>
      </c>
      <c r="E149" t="s">
        <v>57</v>
      </c>
      <c r="F149" t="s">
        <v>21</v>
      </c>
      <c r="G149" t="s">
        <v>40</v>
      </c>
      <c r="H149" t="s">
        <v>41</v>
      </c>
      <c r="I149" t="s">
        <v>53</v>
      </c>
      <c r="J149" s="4" t="s">
        <v>54</v>
      </c>
      <c r="K149" s="4">
        <v>8</v>
      </c>
      <c r="L149" s="3">
        <v>1250</v>
      </c>
      <c r="M149" s="5">
        <v>0.08</v>
      </c>
      <c r="N149" s="3">
        <f t="shared" si="11"/>
        <v>9900</v>
      </c>
      <c r="O149" s="3">
        <v>6240</v>
      </c>
      <c r="P149" s="3">
        <f t="shared" si="12"/>
        <v>3660</v>
      </c>
      <c r="Q149" s="6">
        <v>0.32173913043478258</v>
      </c>
      <c r="R149" t="s">
        <v>35</v>
      </c>
    </row>
    <row r="150" spans="1:18">
      <c r="A150" s="2">
        <v>46147</v>
      </c>
      <c r="B150" s="14">
        <f t="shared" si="10"/>
        <v>5</v>
      </c>
      <c r="C150" s="15" t="str">
        <f t="shared" si="13"/>
        <v>mai</v>
      </c>
      <c r="D150">
        <v>10149</v>
      </c>
      <c r="E150" t="s">
        <v>26</v>
      </c>
      <c r="F150" t="s">
        <v>39</v>
      </c>
      <c r="G150" t="s">
        <v>40</v>
      </c>
      <c r="H150" t="s">
        <v>41</v>
      </c>
      <c r="I150" t="s">
        <v>53</v>
      </c>
      <c r="J150" s="4" t="s">
        <v>54</v>
      </c>
      <c r="K150" s="4">
        <v>2</v>
      </c>
      <c r="L150" s="3">
        <v>1250</v>
      </c>
      <c r="M150" s="5">
        <v>0.05</v>
      </c>
      <c r="N150" s="3">
        <f t="shared" si="11"/>
        <v>2437.5</v>
      </c>
      <c r="O150" s="3">
        <v>1560</v>
      </c>
      <c r="P150" s="3">
        <f t="shared" si="12"/>
        <v>877.5</v>
      </c>
      <c r="Q150" s="6">
        <v>0.34315789473684211</v>
      </c>
      <c r="R150" t="s">
        <v>19</v>
      </c>
    </row>
    <row r="151" spans="1:18">
      <c r="A151" s="2">
        <v>46190</v>
      </c>
      <c r="B151" s="14">
        <f t="shared" si="10"/>
        <v>6</v>
      </c>
      <c r="C151" s="15" t="str">
        <f t="shared" si="13"/>
        <v>jun</v>
      </c>
      <c r="D151">
        <v>10150</v>
      </c>
      <c r="E151" t="s">
        <v>47</v>
      </c>
      <c r="F151" t="s">
        <v>39</v>
      </c>
      <c r="G151" t="s">
        <v>15</v>
      </c>
      <c r="H151" t="s">
        <v>16</v>
      </c>
      <c r="I151" t="s">
        <v>17</v>
      </c>
      <c r="J151" s="4" t="s">
        <v>18</v>
      </c>
      <c r="K151" s="4">
        <v>5</v>
      </c>
      <c r="L151" s="3">
        <v>1150</v>
      </c>
      <c r="M151" s="5">
        <v>0.05</v>
      </c>
      <c r="N151" s="3">
        <f t="shared" si="11"/>
        <v>5692.5</v>
      </c>
      <c r="O151" s="3">
        <v>3800</v>
      </c>
      <c r="P151" s="3">
        <f t="shared" si="12"/>
        <v>1892.5</v>
      </c>
      <c r="Q151" s="6">
        <v>0.30434782608695649</v>
      </c>
      <c r="R151" t="s">
        <v>19</v>
      </c>
    </row>
  </sheetData>
  <autoFilter ref="A1:R151" xr:uid="{49447203-0CF4-4BA1-9DE4-6D0F716A8FBF}">
    <sortState xmlns:xlrd2="http://schemas.microsoft.com/office/spreadsheetml/2017/richdata2" ref="A2:R50">
      <sortCondition ref="A1:A50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735E-09BA-437E-9051-BACF7AA7879F}">
  <dimension ref="C3:H26"/>
  <sheetViews>
    <sheetView topLeftCell="B6" zoomScale="99" workbookViewId="0">
      <selection activeCell="I16" sqref="I16"/>
    </sheetView>
  </sheetViews>
  <sheetFormatPr defaultRowHeight="15"/>
  <cols>
    <col min="2" max="2" width="10.7109375" bestFit="1" customWidth="1"/>
    <col min="3" max="3" width="18.140625" bestFit="1" customWidth="1"/>
    <col min="4" max="4" width="20.85546875" bestFit="1" customWidth="1"/>
    <col min="5" max="5" width="14.28515625" bestFit="1" customWidth="1"/>
    <col min="6" max="6" width="14" bestFit="1" customWidth="1"/>
    <col min="7" max="7" width="18.140625" bestFit="1" customWidth="1"/>
    <col min="8" max="8" width="14" bestFit="1" customWidth="1"/>
    <col min="9" max="13" width="9.140625" bestFit="1" customWidth="1"/>
    <col min="20" max="68" width="10.7109375" bestFit="1" customWidth="1"/>
    <col min="69" max="69" width="11.7109375" bestFit="1" customWidth="1"/>
    <col min="70" max="70" width="10.7109375" bestFit="1" customWidth="1"/>
    <col min="71" max="71" width="11.7109375" bestFit="1" customWidth="1"/>
    <col min="72" max="76" width="10.7109375" bestFit="1" customWidth="1"/>
    <col min="77" max="77" width="11.7109375" bestFit="1" customWidth="1"/>
    <col min="78" max="78" width="10.7109375" bestFit="1" customWidth="1"/>
    <col min="79" max="79" width="11.7109375" bestFit="1" customWidth="1"/>
    <col min="80" max="80" width="10.7109375" bestFit="1" customWidth="1"/>
    <col min="81" max="107" width="11.7109375" bestFit="1" customWidth="1"/>
    <col min="108" max="108" width="14.140625" bestFit="1" customWidth="1"/>
    <col min="124" max="172" width="10.7109375" bestFit="1" customWidth="1"/>
    <col min="173" max="173" width="11.7109375" bestFit="1" customWidth="1"/>
    <col min="174" max="180" width="10.7109375" bestFit="1" customWidth="1"/>
    <col min="181" max="181" width="11.7109375" bestFit="1" customWidth="1"/>
    <col min="182" max="182" width="10.7109375" bestFit="1" customWidth="1"/>
    <col min="183" max="183" width="11.7109375" bestFit="1" customWidth="1"/>
    <col min="184" max="184" width="10.7109375" bestFit="1" customWidth="1"/>
    <col min="185" max="211" width="11.7109375" bestFit="1" customWidth="1"/>
    <col min="212" max="212" width="13.85546875" bestFit="1" customWidth="1"/>
    <col min="228" max="276" width="10.7109375" bestFit="1" customWidth="1"/>
    <col min="277" max="277" width="11.7109375" bestFit="1" customWidth="1"/>
    <col min="278" max="288" width="10.7109375" bestFit="1" customWidth="1"/>
    <col min="289" max="315" width="11.7109375" bestFit="1" customWidth="1"/>
    <col min="316" max="316" width="19.7109375" bestFit="1" customWidth="1"/>
    <col min="332" max="392" width="10.7109375" bestFit="1" customWidth="1"/>
    <col min="393" max="419" width="11.7109375" bestFit="1" customWidth="1"/>
    <col min="420" max="420" width="25.85546875" bestFit="1" customWidth="1"/>
    <col min="421" max="421" width="19.140625" bestFit="1" customWidth="1"/>
    <col min="422" max="422" width="18.85546875" bestFit="1" customWidth="1"/>
    <col min="423" max="423" width="24.7109375" bestFit="1" customWidth="1"/>
  </cols>
  <sheetData>
    <row r="3" spans="3:7">
      <c r="C3" s="8" t="s">
        <v>69</v>
      </c>
      <c r="D3" t="s">
        <v>71</v>
      </c>
      <c r="E3" t="s">
        <v>74</v>
      </c>
      <c r="F3" t="s">
        <v>73</v>
      </c>
      <c r="G3" t="s">
        <v>72</v>
      </c>
    </row>
    <row r="4" spans="3:7">
      <c r="C4" s="9" t="s">
        <v>86</v>
      </c>
      <c r="D4" s="3">
        <v>126555.9</v>
      </c>
      <c r="E4" s="3">
        <v>84925</v>
      </c>
      <c r="F4" s="3">
        <v>41630.9</v>
      </c>
      <c r="G4" s="25">
        <v>17</v>
      </c>
    </row>
    <row r="5" spans="3:7">
      <c r="C5" s="9" t="s">
        <v>84</v>
      </c>
      <c r="D5" s="3">
        <v>123642</v>
      </c>
      <c r="E5" s="3">
        <v>81240</v>
      </c>
      <c r="F5" s="3">
        <v>42402</v>
      </c>
      <c r="G5" s="25">
        <v>17</v>
      </c>
    </row>
    <row r="6" spans="3:7">
      <c r="C6" s="9" t="s">
        <v>85</v>
      </c>
      <c r="D6" s="3">
        <v>143044</v>
      </c>
      <c r="E6" s="3">
        <v>97710</v>
      </c>
      <c r="F6" s="3">
        <v>45334</v>
      </c>
      <c r="G6" s="25">
        <v>17</v>
      </c>
    </row>
    <row r="7" spans="3:7">
      <c r="C7" s="9" t="s">
        <v>87</v>
      </c>
      <c r="D7" s="3">
        <v>104507.5</v>
      </c>
      <c r="E7" s="3">
        <v>69365</v>
      </c>
      <c r="F7" s="3">
        <v>35142.5</v>
      </c>
      <c r="G7" s="25">
        <v>17</v>
      </c>
    </row>
    <row r="8" spans="3:7">
      <c r="C8" s="9" t="s">
        <v>88</v>
      </c>
      <c r="D8" s="3">
        <v>146576.9</v>
      </c>
      <c r="E8" s="3">
        <v>100175</v>
      </c>
      <c r="F8" s="3">
        <v>46401.9</v>
      </c>
      <c r="G8" s="25">
        <v>17</v>
      </c>
    </row>
    <row r="9" spans="3:7">
      <c r="C9" s="9" t="s">
        <v>89</v>
      </c>
      <c r="D9" s="3">
        <v>88161</v>
      </c>
      <c r="E9" s="3">
        <v>56880</v>
      </c>
      <c r="F9" s="3">
        <v>31281</v>
      </c>
      <c r="G9" s="25">
        <v>17</v>
      </c>
    </row>
    <row r="10" spans="3:7">
      <c r="C10" s="9" t="s">
        <v>90</v>
      </c>
      <c r="D10" s="3">
        <v>134835.4</v>
      </c>
      <c r="E10" s="3">
        <v>90030</v>
      </c>
      <c r="F10" s="3">
        <v>44805.4</v>
      </c>
      <c r="G10" s="25">
        <v>16</v>
      </c>
    </row>
    <row r="11" spans="3:7">
      <c r="C11" s="9" t="s">
        <v>91</v>
      </c>
      <c r="D11" s="3">
        <v>92892.5</v>
      </c>
      <c r="E11" s="3">
        <v>59375</v>
      </c>
      <c r="F11" s="3">
        <v>33517.5</v>
      </c>
      <c r="G11" s="25">
        <v>16</v>
      </c>
    </row>
    <row r="12" spans="3:7">
      <c r="C12" s="9" t="s">
        <v>92</v>
      </c>
      <c r="D12" s="3">
        <v>151012</v>
      </c>
      <c r="E12" s="3">
        <v>100255</v>
      </c>
      <c r="F12" s="3">
        <v>50757</v>
      </c>
      <c r="G12" s="25">
        <v>16</v>
      </c>
    </row>
    <row r="13" spans="3:7">
      <c r="C13" s="9" t="s">
        <v>70</v>
      </c>
      <c r="D13" s="3">
        <v>1111227.2000000002</v>
      </c>
      <c r="E13" s="3">
        <v>739955</v>
      </c>
      <c r="F13" s="3">
        <v>371272.2</v>
      </c>
      <c r="G13" s="25">
        <v>150</v>
      </c>
    </row>
    <row r="15" spans="3:7">
      <c r="D15">
        <f>GETPIVOTDATA("Soma de Faturamento",$C$3)</f>
        <v>1111227.2000000002</v>
      </c>
      <c r="E15">
        <f>GETPIVOTDATA("Soma de Custo",$C$3)</f>
        <v>739955</v>
      </c>
      <c r="F15">
        <f>GETPIVOTDATA("Soma de Lucro",$C$3)</f>
        <v>371272.2</v>
      </c>
      <c r="G15">
        <f>GETPIVOTDATA("Contagem de Pedido",$C$3)</f>
        <v>150</v>
      </c>
    </row>
    <row r="20" spans="3:8">
      <c r="C20" s="8" t="s">
        <v>69</v>
      </c>
      <c r="D20" t="s">
        <v>71</v>
      </c>
      <c r="G20" s="8" t="s">
        <v>69</v>
      </c>
      <c r="H20" t="s">
        <v>73</v>
      </c>
    </row>
    <row r="21" spans="3:8">
      <c r="C21" s="9" t="s">
        <v>34</v>
      </c>
      <c r="D21" s="3">
        <v>27313.200000000004</v>
      </c>
      <c r="G21" s="9" t="s">
        <v>34</v>
      </c>
      <c r="H21" s="3">
        <v>11758.199999999999</v>
      </c>
    </row>
    <row r="22" spans="3:8">
      <c r="C22" s="9" t="s">
        <v>49</v>
      </c>
      <c r="D22" s="3">
        <v>392398</v>
      </c>
      <c r="G22" s="9" t="s">
        <v>49</v>
      </c>
      <c r="H22" s="3">
        <v>116548</v>
      </c>
    </row>
    <row r="23" spans="3:8">
      <c r="C23" s="9" t="s">
        <v>16</v>
      </c>
      <c r="D23" s="3">
        <v>405331</v>
      </c>
      <c r="G23" s="9" t="s">
        <v>16</v>
      </c>
      <c r="H23" s="3">
        <v>120651</v>
      </c>
    </row>
    <row r="24" spans="3:8">
      <c r="C24" s="9" t="s">
        <v>41</v>
      </c>
      <c r="D24" s="3">
        <v>224242</v>
      </c>
      <c r="G24" s="9" t="s">
        <v>41</v>
      </c>
      <c r="H24" s="3">
        <v>83602</v>
      </c>
    </row>
    <row r="25" spans="3:8">
      <c r="C25" s="9" t="s">
        <v>29</v>
      </c>
      <c r="D25" s="3">
        <v>61943</v>
      </c>
      <c r="G25" s="9" t="s">
        <v>29</v>
      </c>
      <c r="H25" s="3">
        <v>38713</v>
      </c>
    </row>
    <row r="26" spans="3:8">
      <c r="C26" s="9" t="s">
        <v>70</v>
      </c>
      <c r="D26" s="3">
        <v>1111227.2</v>
      </c>
      <c r="G26" s="9" t="s">
        <v>70</v>
      </c>
      <c r="H26" s="3">
        <v>371272.2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6366-E4D1-44FE-94B6-7FB42F828DDC}">
  <dimension ref="A1:H27"/>
  <sheetViews>
    <sheetView showGridLines="0" showRowColHeaders="0" tabSelected="1" zoomScale="112" zoomScaleNormal="100" workbookViewId="0">
      <selection activeCell="A6" sqref="A6"/>
    </sheetView>
  </sheetViews>
  <sheetFormatPr defaultColWidth="0" defaultRowHeight="15" zeroHeight="1"/>
  <cols>
    <col min="1" max="1" width="33" style="11" customWidth="1"/>
    <col min="2" max="2" width="2.85546875" style="13" customWidth="1"/>
    <col min="3" max="4" width="30.7109375" style="13" customWidth="1"/>
    <col min="5" max="5" width="23.7109375" style="13" customWidth="1"/>
    <col min="6" max="7" width="30.7109375" style="13" customWidth="1"/>
    <col min="8" max="8" width="3.28515625" style="13" customWidth="1"/>
    <col min="9" max="16384" width="9.140625" style="13" hidden="1"/>
  </cols>
  <sheetData>
    <row r="1" spans="1:8">
      <c r="A1" s="10"/>
      <c r="B1" s="12"/>
      <c r="C1" s="24" t="s">
        <v>75</v>
      </c>
      <c r="D1" s="24"/>
      <c r="E1" s="24"/>
      <c r="F1" s="24"/>
      <c r="G1" s="24"/>
    </row>
    <row r="2" spans="1:8">
      <c r="C2" s="24"/>
      <c r="D2" s="24"/>
      <c r="E2" s="24"/>
      <c r="F2" s="24"/>
      <c r="G2" s="24"/>
    </row>
    <row r="3" spans="1:8" ht="5.25" customHeight="1"/>
    <row r="4" spans="1:8" s="22" customFormat="1" ht="17.25" customHeight="1">
      <c r="A4" s="21"/>
      <c r="C4" s="23" t="s">
        <v>76</v>
      </c>
      <c r="D4" s="23" t="s">
        <v>77</v>
      </c>
      <c r="E4" s="23" t="s">
        <v>78</v>
      </c>
      <c r="F4" s="23" t="s">
        <v>83</v>
      </c>
      <c r="G4" s="23" t="s">
        <v>79</v>
      </c>
      <c r="H4" s="13"/>
    </row>
    <row r="5" spans="1:8" s="20" customFormat="1" ht="29.25" customHeight="1">
      <c r="A5" s="16"/>
      <c r="C5" s="18">
        <f>Calculo!D15</f>
        <v>1111227.2000000002</v>
      </c>
      <c r="D5" s="18">
        <f>Calculo!F15</f>
        <v>371272.2</v>
      </c>
      <c r="E5" s="19">
        <f>Calculo!G15</f>
        <v>150</v>
      </c>
      <c r="F5" s="17">
        <f>Calculo!E15</f>
        <v>739955</v>
      </c>
      <c r="G5" s="18">
        <f>C5/E5</f>
        <v>7408.1813333333348</v>
      </c>
      <c r="H5" s="13"/>
    </row>
    <row r="6" spans="1:8" ht="30">
      <c r="A6" s="16" t="s">
        <v>82</v>
      </c>
    </row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 ht="10.5" customHeight="1"/>
    <row r="27"/>
  </sheetData>
  <sheetProtection sheet="1" objects="1" scenarios="1"/>
  <mergeCells count="1">
    <mergeCell ref="C1:G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68C51-6D5B-419B-82C3-A4E1A460D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Calculo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Terluk Agro</dc:creator>
  <cp:lastModifiedBy>Terluk Agro</cp:lastModifiedBy>
  <dcterms:created xsi:type="dcterms:W3CDTF">2026-09-26T20:15:18Z</dcterms:created>
  <dcterms:modified xsi:type="dcterms:W3CDTF">2026-09-28T00:06:18Z</dcterms:modified>
</cp:coreProperties>
</file>